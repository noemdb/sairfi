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DE COMPRAS" sheetId="1" r:id="rId4"/>
    <sheet state="visible" name="LIBRO DE VENTAS" sheetId="2" r:id="rId5"/>
    <sheet state="visible" name="RESUMEN" sheetId="3" r:id="rId6"/>
    <sheet state="visible" name="COMPROBANTE RET DE ISLR" sheetId="4" r:id="rId7"/>
    <sheet state="visible" name="COMPROBANTE DE RETENCION IVA" sheetId="5" r:id="rId8"/>
  </sheets>
  <externalReferences>
    <externalReference r:id="rId9"/>
    <externalReference r:id="rId10"/>
    <externalReference r:id="rId11"/>
  </externalReference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0">
      <text>
        <t xml:space="preserve">User:
ESTE PORCENTAJE VARIA SEGÚN EL DECRETO 1808</t>
      </text>
    </comment>
    <comment authorId="0" ref="H30">
      <text>
        <t xml:space="preserve">User:
SOLO APLICA A PERSONAS NATURALES</t>
      </text>
    </comment>
  </commentList>
</comments>
</file>

<file path=xl/sharedStrings.xml><?xml version="1.0" encoding="utf-8"?>
<sst xmlns="http://schemas.openxmlformats.org/spreadsheetml/2006/main" count="251" uniqueCount="184">
  <si>
    <t>COFFE DINNER 87, C.A.</t>
  </si>
  <si>
    <t>ID Fiscal: J-40497285-4</t>
  </si>
  <si>
    <t>Libro de Compras  I.V.A.</t>
  </si>
  <si>
    <t>Desde :</t>
  </si>
  <si>
    <t>Hasta:</t>
  </si>
  <si>
    <t>Nº de Operación</t>
  </si>
  <si>
    <t>Fecha</t>
  </si>
  <si>
    <t>R.I.F.</t>
  </si>
  <si>
    <t>Nombre o razón social</t>
  </si>
  <si>
    <t>Nro. de Comp. de Retencion</t>
  </si>
  <si>
    <t>N° de Factura, N/C ó N/D</t>
  </si>
  <si>
    <t>N° Control</t>
  </si>
  <si>
    <t>N° Planilla de Importacion</t>
  </si>
  <si>
    <t>N° de Expediente de Importacion</t>
  </si>
  <si>
    <t xml:space="preserve">Tipo de Transacción </t>
  </si>
  <si>
    <t>Nro. Fac Afectada</t>
  </si>
  <si>
    <t>Total de Compras Incluye IVA</t>
  </si>
  <si>
    <t>Compras Exentas o Sin Derecho a Crédito Fiscal</t>
  </si>
  <si>
    <t>Base Imponible</t>
  </si>
  <si>
    <t>% Alic I.V.A</t>
  </si>
  <si>
    <t>I.V.A.</t>
  </si>
  <si>
    <t xml:space="preserve"> I.V.A. Retenido</t>
  </si>
  <si>
    <t>J-12396966-5</t>
  </si>
  <si>
    <t>Representaciones Axc, c.a.</t>
  </si>
  <si>
    <t>20260900000517</t>
  </si>
  <si>
    <t>AD0341700</t>
  </si>
  <si>
    <t>00-321478</t>
  </si>
  <si>
    <t>**********</t>
  </si>
  <si>
    <t>01-reg</t>
  </si>
  <si>
    <t>NC00104123</t>
  </si>
  <si>
    <t>00-321571</t>
  </si>
  <si>
    <t>J-12337013-9</t>
  </si>
  <si>
    <t>Pepon, c.a.</t>
  </si>
  <si>
    <t>20260900000518</t>
  </si>
  <si>
    <t>APV0191234386803</t>
  </si>
  <si>
    <t>09-3531239</t>
  </si>
  <si>
    <t>J-12330125-5</t>
  </si>
  <si>
    <t>Productos Sabor, s.a</t>
  </si>
  <si>
    <t>20260900000520</t>
  </si>
  <si>
    <t>1231085879</t>
  </si>
  <si>
    <t>00-3644762</t>
  </si>
  <si>
    <t>TOTAL</t>
  </si>
  <si>
    <t>RESUMEN DE COMPRAS</t>
  </si>
  <si>
    <t>Base</t>
  </si>
  <si>
    <t>% Alicuota</t>
  </si>
  <si>
    <t>I.V.A</t>
  </si>
  <si>
    <t>Total Compra Interna no Gravada o sin Derecho a Crédito Fiscal</t>
  </si>
  <si>
    <t>Total Importaciones Gravadas por Alicuota General</t>
  </si>
  <si>
    <t>Total Importaciones Gravadas por Alicuota General más Adicional</t>
  </si>
  <si>
    <t xml:space="preserve">Total Compras Interna Gravada por Alicuota General </t>
  </si>
  <si>
    <t>Total Compras Gravadas por Alicuota General más Adicional</t>
  </si>
  <si>
    <t>Total Compras Interna Gravada por Alicuota reducida</t>
  </si>
  <si>
    <t>Ajuste a Créditos Periodos Anteriores</t>
  </si>
  <si>
    <t>Libro de Ventas  I.V.A.</t>
  </si>
  <si>
    <t>Hasta</t>
  </si>
  <si>
    <t>Nro. de Comp.</t>
  </si>
  <si>
    <t>N° de Reporte Z</t>
  </si>
  <si>
    <t>Desde la Factura N°</t>
  </si>
  <si>
    <t>Hasta la Factura N°</t>
  </si>
  <si>
    <t>N° de Control (N° DE Máquina Fiscal)</t>
  </si>
  <si>
    <t>Numero de Nota de Débito</t>
  </si>
  <si>
    <t>Numero de Nota de Crédito</t>
  </si>
  <si>
    <t>Total de Ventas Incluye IVA</t>
  </si>
  <si>
    <t>Ventas Exentas</t>
  </si>
  <si>
    <t>Cobro por Cuenta de Tercero</t>
  </si>
  <si>
    <t>**********************</t>
  </si>
  <si>
    <t>0</t>
  </si>
  <si>
    <t>TOTALES</t>
  </si>
  <si>
    <t xml:space="preserve"> </t>
  </si>
  <si>
    <t>RESUMEN DE VENTAS</t>
  </si>
  <si>
    <t>Total Venta Interna no Gravada</t>
  </si>
  <si>
    <t>Total Venta a cuenta de tercero</t>
  </si>
  <si>
    <t>Total Venta de Exportacion</t>
  </si>
  <si>
    <t xml:space="preserve">Total Venta Interna Gravada por Alicuota General </t>
  </si>
  <si>
    <t>Total Venta Interna Gravada por Alicuota General más adicional</t>
  </si>
  <si>
    <t>Total Venta Interna Gravada por Alicuota reducida</t>
  </si>
  <si>
    <t>Ajuste a Debitos Periodos Anteriores</t>
  </si>
  <si>
    <t xml:space="preserve"> COFFE DINNER 87, C.A.</t>
  </si>
  <si>
    <t xml:space="preserve">  RIF: J-40497285-4</t>
  </si>
  <si>
    <t xml:space="preserve">                       DESDE 01-09 HASTA 15-09-2026        </t>
  </si>
  <si>
    <t xml:space="preserve">                    MES DE MAYO 2009                   </t>
  </si>
  <si>
    <t>RESUMEN MENSUAL DE LIBRO DE COMPRA Y VENTA (ART.72 REGLAMENTO DE IVA)</t>
  </si>
  <si>
    <t xml:space="preserve">Nº de Factura:   </t>
  </si>
  <si>
    <t>00017193</t>
  </si>
  <si>
    <r>
      <rPr>
        <rFont val="Arial Narrow"/>
        <sz val="10.0"/>
      </rPr>
      <t>Ultimo Nº de Factura:</t>
    </r>
    <r>
      <rPr>
        <rFont val="Arial Narrow"/>
        <b/>
        <sz val="10.0"/>
      </rPr>
      <t xml:space="preserve">   </t>
    </r>
  </si>
  <si>
    <t>00017988</t>
  </si>
  <si>
    <t>DEBITOS FISCALES</t>
  </si>
  <si>
    <t>Debito Fiscal</t>
  </si>
  <si>
    <t xml:space="preserve"> Ventas Internas no Gravadas</t>
  </si>
  <si>
    <t xml:space="preserve">Ventas de exportación </t>
  </si>
  <si>
    <t>Ventas internas afectas a alícuota general</t>
  </si>
  <si>
    <t>Ventas internas afectas en alícuota general + Adicional</t>
  </si>
  <si>
    <t>Ventas internas afectas en alícuota reducida</t>
  </si>
  <si>
    <t>Total ventas y debitos fiscales para efectos de determinacion</t>
  </si>
  <si>
    <t>Ajustes a los debitos fiscales de periodos anteriores</t>
  </si>
  <si>
    <t>Total debitos fiscales….Realice la operación (47 + 48)</t>
  </si>
  <si>
    <t>CREDITOS FISCALES</t>
  </si>
  <si>
    <t>Credito  Fiscal</t>
  </si>
  <si>
    <r>
      <rPr>
        <rFont val="Arial Narrow"/>
        <sz val="10.0"/>
      </rPr>
      <t xml:space="preserve">Total: Compras Exentas y/o sin Derecho a credito fiscal                                                </t>
    </r>
    <r>
      <rPr>
        <rFont val="Arial Narrow"/>
        <b/>
        <sz val="10.0"/>
      </rPr>
      <t xml:space="preserve">   </t>
    </r>
  </si>
  <si>
    <t xml:space="preserve">Compras de importación afectas a alicuota general                                                      </t>
  </si>
  <si>
    <r>
      <rPr>
        <rFont val="Arial Narrow"/>
        <sz val="10.0"/>
      </rPr>
      <t xml:space="preserve">Compras de importación afectas a alicuota general+adicional                                 </t>
    </r>
    <r>
      <rPr>
        <rFont val="Arial Narrow"/>
        <b/>
        <sz val="10.0"/>
      </rPr>
      <t xml:space="preserve">         </t>
    </r>
  </si>
  <si>
    <r>
      <rPr>
        <rFont val="Arial Narrow"/>
        <sz val="10.0"/>
      </rPr>
      <t xml:space="preserve">Compras de importación afectas a alicuota reducida                                                      </t>
    </r>
    <r>
      <rPr>
        <rFont val="Arial Narrow"/>
        <b/>
        <sz val="10.0"/>
      </rPr>
      <t xml:space="preserve"> </t>
    </r>
  </si>
  <si>
    <t xml:space="preserve">Compras internas afectas solo alicuota general           </t>
  </si>
  <si>
    <r>
      <rPr>
        <rFont val="Arial Narrow"/>
        <sz val="10.0"/>
      </rPr>
      <t xml:space="preserve">Compras internas afectas solo alicuota general+adicional                                              </t>
    </r>
    <r>
      <rPr>
        <rFont val="Arial Narrow"/>
        <b/>
        <sz val="10.0"/>
      </rPr>
      <t xml:space="preserve">  </t>
    </r>
  </si>
  <si>
    <r>
      <rPr>
        <rFont val="Arial Narrow"/>
        <sz val="10.0"/>
      </rPr>
      <t xml:space="preserve">Compras internas afectas en alicuota reducida                                                              </t>
    </r>
    <r>
      <rPr>
        <rFont val="Arial Narrow"/>
        <b/>
        <sz val="10.0"/>
      </rPr>
      <t xml:space="preserve"> </t>
    </r>
  </si>
  <si>
    <t xml:space="preserve">Total compras y creditos fiscales del periodo </t>
  </si>
  <si>
    <t>Creditos fiscales totalmente deducibles</t>
  </si>
  <si>
    <t>Creditos fiscales producto de la aplicación del porcentaje de la prorrata</t>
  </si>
  <si>
    <t>Total creditos fiscales deducibles</t>
  </si>
  <si>
    <t>Excedente de Creditos fiscales del mes anterior (item 60 de la declaracion anterior)</t>
  </si>
  <si>
    <t>Ajustes a los creditos fiscales de periodos anteriores</t>
  </si>
  <si>
    <t>Total creditos fiscales……Realice la operación (36 o 71 + 20 +24+ 38 si es el caso)</t>
  </si>
  <si>
    <t>Total cuota tributaria del periodo (iva a pagar)</t>
  </si>
  <si>
    <r>
      <rPr>
        <rFont val="Arial Narrow"/>
        <sz val="10.0"/>
      </rPr>
      <t xml:space="preserve">Excedente de Creditos fiscales del mes siguiente (si </t>
    </r>
    <r>
      <rPr>
        <rFont val="Arial Narrow"/>
        <b/>
        <sz val="10.0"/>
      </rPr>
      <t>item 39</t>
    </r>
    <r>
      <rPr>
        <rFont val="Arial Narrow"/>
        <sz val="10.0"/>
      </rPr>
      <t xml:space="preserve"> es mayor que </t>
    </r>
    <r>
      <rPr>
        <rFont val="Arial Narrow"/>
        <b/>
        <sz val="10.0"/>
      </rPr>
      <t>item 49</t>
    </r>
    <r>
      <rPr>
        <rFont val="Arial Narrow"/>
        <sz val="10.0"/>
      </rPr>
      <t>, indique la diferencia)</t>
    </r>
  </si>
  <si>
    <t>Sub total Impuesto a Pagar</t>
  </si>
  <si>
    <t>RETENCIONES</t>
  </si>
  <si>
    <t>Retenciones acumuladas por descontar</t>
  </si>
  <si>
    <t>Retenciones del periodo</t>
  </si>
  <si>
    <t>Total retenciones</t>
  </si>
  <si>
    <t>Retenciones soportadas y descontadas</t>
  </si>
  <si>
    <t>Saldo renciones de IVA no aplicado</t>
  </si>
  <si>
    <t xml:space="preserve">TOTAL A PAGAR </t>
  </si>
  <si>
    <t>FECHA EMISION:</t>
  </si>
  <si>
    <t>FECHA ENTREGA DE COMPROBANTE:</t>
  </si>
  <si>
    <t>NRO DE COMPROBANTE</t>
  </si>
  <si>
    <t>202505000000001</t>
  </si>
  <si>
    <t>COMPROBANTE DE RETENCION DE IMPUESTO SOBRE LA RENTA</t>
  </si>
  <si>
    <t>DATOS DEL AGENTE DE RETENCION</t>
  </si>
  <si>
    <t>NOMBRE:</t>
  </si>
  <si>
    <t>Nº DE RIF</t>
  </si>
  <si>
    <t xml:space="preserve"> J-40497285-4</t>
  </si>
  <si>
    <t>DIRECCION FISCAL DEL AGENTE DE RETENCIÓN:</t>
  </si>
  <si>
    <t>AV. RAVELL CON AV, CEDEÑO</t>
  </si>
  <si>
    <t>DATOS DEL CONTRIBUYENTE</t>
  </si>
  <si>
    <t>GRAFIZERO, C.A.</t>
  </si>
  <si>
    <t>J-12329329-5</t>
  </si>
  <si>
    <t>DIRECCION FISCAL DEL CONTRIBUYENTE:</t>
  </si>
  <si>
    <t>CALLE 12 ENTRE AV 8 Y 9 EDIF DON KIKO</t>
  </si>
  <si>
    <t>DATOS DEL MONTO RETENIDO Y CONCEPTO</t>
  </si>
  <si>
    <t>FECHA FACTURA</t>
  </si>
  <si>
    <t>N° FACTURA</t>
  </si>
  <si>
    <t>N° CONTROL</t>
  </si>
  <si>
    <t>MONTO TOTAL FACTURA</t>
  </si>
  <si>
    <t xml:space="preserve">CONCEPTO DE PAGO </t>
  </si>
  <si>
    <t>BASE IMPONIBLE</t>
  </si>
  <si>
    <t>PORC. RET</t>
  </si>
  <si>
    <t>SUSTRAENDO</t>
  </si>
  <si>
    <t>MONTO RET</t>
  </si>
  <si>
    <t>20/05/2025</t>
  </si>
  <si>
    <t>17874</t>
  </si>
  <si>
    <t>00-00007974</t>
  </si>
  <si>
    <t>SERVICIO</t>
  </si>
  <si>
    <t>TOTAL RETENIDO</t>
  </si>
  <si>
    <t>FIRMA Y SELLO DEL AGENTE DE RETENCION</t>
  </si>
  <si>
    <t>FIRMA Y SELLO DEL CONTRIBUYENTE</t>
  </si>
  <si>
    <t>J-40497285-4</t>
  </si>
  <si>
    <t>COMPROBANTE DE RETENCION DEL I.V.A</t>
  </si>
  <si>
    <t>Nro de Comprobante</t>
  </si>
  <si>
    <t>Fecha de emisión</t>
  </si>
  <si>
    <t>20260900000521</t>
  </si>
  <si>
    <t>Ley I.V.A. - Art. 11: seran responsables del pago del Impuesto en calidad de agentes de retencion, los compradores o adquirientes</t>
  </si>
  <si>
    <t>Fecha de entrega</t>
  </si>
  <si>
    <t>de  determinados  bienes  mueble  y  los receptores de ciertos servicios, a quienes la Administración Tributaria designe como tal.</t>
  </si>
  <si>
    <t>NOMBRE o RAZON SOCIAL DEL AGENTE DE RETENCION</t>
  </si>
  <si>
    <t>REGISTRO DE INFORMACION FISCAL DEL AGENTE DE RETENCION</t>
  </si>
  <si>
    <t>DIRECCION FISCAL DEL AGENTE DE RETENCION</t>
  </si>
  <si>
    <t>NOMBRE o RAZON SOCIAL DEL PROVEEDOR</t>
  </si>
  <si>
    <t>REGISTRO DE INFORMACION FISCAL DEL PROVEEDOR</t>
  </si>
  <si>
    <t>PROVEEDOR, S.A.</t>
  </si>
  <si>
    <t>Fecha de la factura o nota de débito</t>
  </si>
  <si>
    <t>Número de factura o nota de débito</t>
  </si>
  <si>
    <t>Número control de factura o nota de débito</t>
  </si>
  <si>
    <t>Número de factura afectada</t>
  </si>
  <si>
    <t>Total Compras incluyendo I.V.A.</t>
  </si>
  <si>
    <t>Compras sin derecho a crédito fiscal</t>
  </si>
  <si>
    <t>% Alícuota</t>
  </si>
  <si>
    <t>Impuesto causado I.V.A.</t>
  </si>
  <si>
    <t>% de retención</t>
  </si>
  <si>
    <t>Impuesto Retenido I.V.A.</t>
  </si>
  <si>
    <t>1231085618</t>
  </si>
  <si>
    <t>00-1234485</t>
  </si>
  <si>
    <t>*******</t>
  </si>
  <si>
    <t>Sello y Firma Del Proveedor</t>
  </si>
  <si>
    <t>Sello y Firma Agente de Retención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</si>
</sst>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0"/>
    <numFmt numFmtId="166" formatCode="000.00"/>
    <numFmt numFmtId="167" formatCode="_(* #,##0.00_);_(* \(#,##0.00\);_(* &quot;-&quot;??_);_(@_)"/>
    <numFmt numFmtId="168" formatCode="_ * #,##0.00_ ;_ * \-#,##0.00_ ;_ * &quot;-&quot;??_ ;_ @_ "/>
  </numFmts>
  <fonts count="34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sz val="16.0"/>
      <color rgb="FF000000"/>
      <name val="Arial"/>
    </font>
    <font>
      <sz val="16.0"/>
      <color rgb="FF000000"/>
      <name val="Arial"/>
    </font>
    <font/>
    <font>
      <b/>
      <sz val="11.0"/>
      <name val="Arial"/>
    </font>
    <font>
      <sz val="11.0"/>
      <name val="Arial"/>
    </font>
    <font>
      <sz val="10.0"/>
      <color rgb="FF000000"/>
      <name val="Arial"/>
    </font>
    <font>
      <b/>
      <sz val="6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00"/>
      <name val="Arial"/>
    </font>
    <font>
      <b/>
      <sz val="12.0"/>
      <name val="Arial"/>
    </font>
    <font>
      <sz val="10.0"/>
      <name val="Arial"/>
    </font>
    <font>
      <b/>
      <sz val="10.0"/>
      <name val="Arial"/>
    </font>
    <font>
      <b/>
      <sz val="14.0"/>
      <name val="Arial Narrow"/>
    </font>
    <font>
      <sz val="10.0"/>
      <name val="Arial Narrow"/>
    </font>
    <font>
      <b/>
      <sz val="10.0"/>
      <name val="Arial Narrow"/>
    </font>
    <font>
      <i/>
      <sz val="10.0"/>
      <name val="Arial Narrow"/>
    </font>
    <font>
      <b/>
      <i/>
      <sz val="10.0"/>
      <name val="Arial Narrow"/>
    </font>
    <font>
      <i/>
      <sz val="10.0"/>
      <color rgb="FFFF0000"/>
      <name val="Arial Narrow"/>
    </font>
    <font>
      <b/>
      <sz val="11.0"/>
      <name val="Calibri"/>
    </font>
    <font>
      <sz val="11.0"/>
      <name val="Calibri"/>
    </font>
    <font>
      <sz val="11.0"/>
      <color rgb="FF000000"/>
      <name val="Calibri"/>
    </font>
    <font>
      <b/>
      <sz val="14.0"/>
      <name val="Calibri"/>
    </font>
    <font>
      <b/>
      <sz val="10.0"/>
      <color rgb="FF000000"/>
      <name val="Calibri"/>
    </font>
    <font>
      <sz val="10.0"/>
      <name val="Calibri"/>
    </font>
    <font>
      <sz val="9.0"/>
      <color rgb="FF000000"/>
      <name val="Arial"/>
    </font>
    <font>
      <sz val="10.0"/>
      <color rgb="FF000000"/>
      <name val="Verdana"/>
    </font>
  </fonts>
  <fills count="2">
    <fill>
      <patternFill patternType="none"/>
    </fill>
    <fill>
      <patternFill patternType="lightGray"/>
    </fill>
  </fills>
  <borders count="3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5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1"/>
    </xf>
    <xf borderId="3" fillId="0" fontId="2" numFmtId="4" xfId="0" applyAlignment="1" applyBorder="1" applyFont="1" applyNumberFormat="1">
      <alignment horizontal="center" shrinkToFit="0" vertical="center" wrapText="1"/>
    </xf>
    <xf borderId="3" fillId="0" fontId="2" numFmtId="4" xfId="0" applyAlignment="1" applyBorder="1" applyFont="1" applyNumberFormat="1">
      <alignment horizontal="center" shrinkToFit="0" vertical="center" wrapText="0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left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1" numFmtId="4" xfId="0" applyAlignment="1" applyBorder="1" applyFont="1" applyNumberFormat="1">
      <alignment horizontal="center" shrinkToFit="0" vertical="center" wrapText="1"/>
    </xf>
    <xf borderId="4" fillId="0" fontId="1" numFmtId="4" xfId="0" applyAlignment="1" applyBorder="1" applyFont="1" applyNumberFormat="1">
      <alignment horizontal="center" shrinkToFit="0" vertical="center" wrapText="0"/>
    </xf>
    <xf borderId="4" fillId="0" fontId="1" numFmtId="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7" fillId="0" fontId="5" numFmtId="0" xfId="0" applyBorder="1" applyFont="1"/>
    <xf borderId="4" fillId="0" fontId="2" numFmtId="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4" xfId="0" applyAlignment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1"/>
    </xf>
    <xf borderId="7" fillId="0" fontId="6" numFmtId="4" xfId="0" applyAlignment="1" applyBorder="1" applyFont="1" applyNumberFormat="1">
      <alignment horizontal="center" shrinkToFit="0" vertical="center" wrapText="1"/>
    </xf>
    <xf borderId="4" fillId="0" fontId="6" numFmtId="4" xfId="0" applyAlignment="1" applyBorder="1" applyFont="1" applyNumberFormat="1">
      <alignment horizontal="center" shrinkToFit="0" vertical="center" wrapText="1"/>
    </xf>
    <xf borderId="4" fillId="0" fontId="6" numFmtId="4" xfId="0" applyAlignment="1" applyBorder="1" applyFont="1" applyNumberFormat="1">
      <alignment horizontal="center" shrinkToFit="0" vertical="center" wrapText="0"/>
    </xf>
    <xf borderId="0" fillId="0" fontId="6" numFmtId="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shrinkToFit="0" vertical="bottom" wrapText="0"/>
    </xf>
    <xf borderId="5" fillId="0" fontId="7" numFmtId="0" xfId="0" applyAlignment="1" applyBorder="1" applyFont="1">
      <alignment horizontal="left" shrinkToFit="0" vertical="bottom" wrapText="0"/>
    </xf>
    <xf borderId="7" fillId="0" fontId="7" numFmtId="4" xfId="0" applyAlignment="1" applyBorder="1" applyFont="1" applyNumberFormat="1">
      <alignment horizontal="center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4" fillId="0" fontId="7" numFmtId="4" xfId="0" applyAlignment="1" applyBorder="1" applyFont="1" applyNumberFormat="1">
      <alignment horizontal="center" shrinkToFit="0" vertical="center" wrapText="0"/>
    </xf>
    <xf borderId="0" fillId="0" fontId="7" numFmtId="4" xfId="0" applyAlignment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bottom" wrapText="0"/>
    </xf>
    <xf borderId="7" fillId="0" fontId="6" numFmtId="4" xfId="0" applyAlignment="1" applyBorder="1" applyFont="1" applyNumberFormat="1">
      <alignment horizontal="center" shrinkToFit="0" vertical="center" wrapText="0"/>
    </xf>
    <xf borderId="0" fillId="0" fontId="6" numFmtId="4" xfId="0" applyAlignment="1" applyFont="1" applyNumberFormat="1">
      <alignment horizontal="center" shrinkToFit="0" vertical="center" wrapText="0"/>
    </xf>
    <xf borderId="0" fillId="0" fontId="8" numFmtId="0" xfId="0" applyFont="1"/>
    <xf borderId="0" fillId="0" fontId="9" numFmtId="0" xfId="0" applyAlignment="1" applyFont="1">
      <alignment horizontal="center"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0" xfId="0" applyAlignment="1" applyFont="1">
      <alignment horizontal="left" shrinkToFit="0" vertical="center" wrapText="0"/>
    </xf>
    <xf borderId="0" fillId="0" fontId="11" numFmtId="1" xfId="0" applyAlignment="1" applyFont="1" applyNumberForma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0" fillId="0" fontId="11" numFmtId="4" xfId="0" applyAlignment="1" applyFont="1" applyNumberFormat="1">
      <alignment horizontal="right" shrinkToFit="0" vertical="center" wrapText="0"/>
    </xf>
    <xf borderId="0" fillId="0" fontId="11" numFmtId="166" xfId="0" applyAlignment="1" applyFont="1" applyNumberFormat="1">
      <alignment horizontal="right" shrinkToFit="0" vertical="center" wrapText="0"/>
    </xf>
    <xf borderId="0" fillId="0" fontId="8" numFmtId="4" xfId="0" applyAlignment="1" applyFont="1" applyNumberFormat="1">
      <alignment shrinkToFit="0" vertical="center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2" numFmtId="4" xfId="0" applyAlignment="1" applyFont="1" applyNumberFormat="1">
      <alignment shrinkToFit="0" vertical="center" wrapText="0"/>
    </xf>
    <xf borderId="0" fillId="0" fontId="15" numFmtId="4" xfId="0" applyAlignment="1" applyFont="1" applyNumberFormat="1">
      <alignment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4" numFmtId="164" xfId="0" applyAlignment="1" applyFont="1" applyNumberFormat="1">
      <alignment shrinkToFit="0" vertical="center" wrapText="0"/>
    </xf>
    <xf borderId="0" fillId="0" fontId="14" numFmtId="0" xfId="0" applyAlignment="1" applyFont="1">
      <alignment horizontal="right" shrinkToFit="0" vertical="center" wrapText="0"/>
    </xf>
    <xf borderId="0" fillId="0" fontId="14" numFmtId="164" xfId="0" applyAlignment="1" applyFont="1" applyNumberFormat="1">
      <alignment horizontal="center" shrinkToFit="0" vertical="center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center" wrapText="0"/>
    </xf>
    <xf borderId="1" fillId="0" fontId="13" numFmtId="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0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4" xfId="0" applyAlignment="1" applyBorder="1" applyFont="1" applyNumberFormat="1">
      <alignment horizontal="center" shrinkToFit="0" vertical="center" wrapText="1"/>
    </xf>
    <xf borderId="3" fillId="0" fontId="16" numFmtId="4" xfId="0" applyAlignment="1" applyBorder="1" applyFont="1" applyNumberFormat="1">
      <alignment horizontal="center" shrinkToFit="0" vertical="center" wrapText="0"/>
    </xf>
    <xf borderId="8" fillId="0" fontId="5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0" fontId="8" numFmtId="49" xfId="0" applyAlignment="1" applyBorder="1" applyFont="1" applyNumberFormat="1">
      <alignment horizontal="center" shrinkToFit="0" vertical="center" wrapText="0"/>
    </xf>
    <xf borderId="4" fillId="0" fontId="8" numFmtId="4" xfId="0" applyAlignment="1" applyBorder="1" applyFont="1" applyNumberFormat="1">
      <alignment horizontal="center" shrinkToFit="0" vertical="center" wrapText="1"/>
    </xf>
    <xf borderId="4" fillId="0" fontId="8" numFmtId="4" xfId="0" applyAlignment="1" applyBorder="1" applyFont="1" applyNumberFormat="1">
      <alignment horizontal="center" shrinkToFit="0" vertical="center" wrapText="0"/>
    </xf>
    <xf borderId="4" fillId="0" fontId="8" numFmtId="9" xfId="0" applyAlignment="1" applyBorder="1" applyFont="1" applyNumberFormat="1">
      <alignment horizontal="center" shrinkToFit="0" vertical="center" wrapText="1"/>
    </xf>
    <xf borderId="4" fillId="0" fontId="8" numFmtId="2" xfId="0" applyAlignment="1" applyBorder="1" applyFont="1" applyNumberFormat="1">
      <alignment horizontal="center" shrinkToFit="0" vertical="center" wrapText="0"/>
    </xf>
    <xf borderId="4" fillId="0" fontId="16" numFmtId="0" xfId="0" applyAlignment="1" applyBorder="1" applyFont="1">
      <alignment shrinkToFit="0" vertical="bottom" wrapText="0"/>
    </xf>
    <xf borderId="5" fillId="0" fontId="16" numFmtId="0" xfId="0" applyAlignment="1" applyBorder="1" applyFont="1">
      <alignment horizontal="center" shrinkToFit="0" vertical="center" wrapText="0"/>
    </xf>
    <xf borderId="4" fillId="0" fontId="16" numFmtId="4" xfId="0" applyAlignment="1" applyBorder="1" applyFont="1" applyNumberFormat="1">
      <alignment horizontal="center" shrinkToFit="0" vertical="center" wrapText="0"/>
    </xf>
    <xf borderId="4" fillId="0" fontId="16" numFmtId="9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9" fillId="0" fontId="15" numFmtId="0" xfId="0" applyAlignment="1" applyBorder="1" applyFont="1">
      <alignment shrinkToFit="0" vertical="bottom" wrapText="0"/>
    </xf>
    <xf borderId="6" fillId="0" fontId="17" numFmtId="0" xfId="0" applyAlignment="1" applyBorder="1" applyFont="1">
      <alignment horizontal="center" shrinkToFit="0" vertical="center" wrapText="1"/>
    </xf>
    <xf borderId="7" fillId="0" fontId="17" numFmtId="4" xfId="0" applyAlignment="1" applyBorder="1" applyFont="1" applyNumberFormat="1">
      <alignment horizontal="center" shrinkToFit="0" vertical="center" wrapText="1"/>
    </xf>
    <xf borderId="4" fillId="0" fontId="17" numFmtId="4" xfId="0" applyAlignment="1" applyBorder="1" applyFont="1" applyNumberFormat="1">
      <alignment horizontal="center" shrinkToFit="0" vertical="center" wrapText="1"/>
    </xf>
    <xf borderId="5" fillId="0" fontId="17" numFmtId="4" xfId="0" applyAlignment="1" applyBorder="1" applyFont="1" applyNumberFormat="1">
      <alignment horizontal="center" shrinkToFit="0" vertical="center" wrapText="0"/>
    </xf>
    <xf borderId="10" fillId="0" fontId="17" numFmtId="4" xfId="0" applyAlignment="1" applyBorder="1" applyFont="1" applyNumberFormat="1">
      <alignment horizontal="center" shrinkToFit="0" vertical="center" wrapText="1"/>
    </xf>
    <xf borderId="0" fillId="0" fontId="15" numFmtId="4" xfId="0" applyAlignment="1" applyFont="1" applyNumberFormat="1">
      <alignment shrinkToFit="0" vertical="bottom" wrapText="0"/>
    </xf>
    <xf borderId="5" fillId="0" fontId="18" numFmtId="0" xfId="0" applyAlignment="1" applyBorder="1" applyFont="1">
      <alignment horizontal="left" shrinkToFit="0" vertical="bottom" wrapText="0"/>
    </xf>
    <xf borderId="7" fillId="0" fontId="18" numFmtId="4" xfId="0" applyAlignment="1" applyBorder="1" applyFont="1" applyNumberFormat="1">
      <alignment horizontal="center" shrinkToFit="0" vertical="center" wrapText="0"/>
    </xf>
    <xf borderId="4" fillId="0" fontId="18" numFmtId="165" xfId="0" applyAlignment="1" applyBorder="1" applyFont="1" applyNumberFormat="1">
      <alignment horizontal="center" shrinkToFit="0" vertical="center" wrapText="0"/>
    </xf>
    <xf borderId="4" fillId="0" fontId="18" numFmtId="4" xfId="0" applyAlignment="1" applyBorder="1" applyFont="1" applyNumberFormat="1">
      <alignment horizontal="center" shrinkToFit="0" vertical="center" wrapText="0"/>
    </xf>
    <xf borderId="0" fillId="0" fontId="18" numFmtId="4" xfId="0" applyAlignment="1" applyFont="1" applyNumberFormat="1">
      <alignment horizontal="center" shrinkToFit="0" vertical="center" wrapText="0"/>
    </xf>
    <xf borderId="0" fillId="0" fontId="16" numFmtId="4" xfId="0" applyAlignment="1" applyFont="1" applyNumberFormat="1">
      <alignment horizontal="center" shrinkToFit="0" vertical="center" wrapText="0"/>
    </xf>
    <xf borderId="0" fillId="0" fontId="8" numFmtId="4" xfId="0" applyAlignment="1" applyFont="1" applyNumberFormat="1">
      <alignment shrinkToFit="0" vertical="bottom" wrapText="0"/>
    </xf>
    <xf borderId="0" fillId="0" fontId="19" numFmtId="4" xfId="0" applyAlignment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center" shrinkToFit="0" vertical="center" wrapText="0"/>
    </xf>
    <xf borderId="7" fillId="0" fontId="19" numFmtId="4" xfId="0" applyAlignment="1" applyBorder="1" applyFont="1" applyNumberFormat="1">
      <alignment horizontal="center" shrinkToFit="0" vertical="center" wrapText="0"/>
    </xf>
    <xf borderId="0" fillId="0" fontId="19" numFmtId="4" xfId="0" applyAlignment="1" applyFont="1" applyNumberFormat="1">
      <alignment horizontal="center" shrinkToFit="0" vertical="center" wrapText="0"/>
    </xf>
    <xf borderId="11" fillId="0" fontId="20" numFmtId="0" xfId="0" applyAlignment="1" applyBorder="1" applyFont="1">
      <alignment horizontal="center" shrinkToFit="0" vertical="bottom" wrapText="0"/>
    </xf>
    <xf borderId="12" fillId="0" fontId="5" numFmtId="0" xfId="0" applyBorder="1" applyFont="1"/>
    <xf borderId="13" fillId="0" fontId="5" numFmtId="0" xfId="0" applyBorder="1" applyFont="1"/>
    <xf borderId="0" fillId="0" fontId="20" numFmtId="0" xfId="0" applyAlignment="1" applyFont="1">
      <alignment shrinkToFit="0" vertical="bottom" wrapText="0"/>
    </xf>
    <xf borderId="0" fillId="0" fontId="18" numFmtId="0" xfId="0" applyFont="1"/>
    <xf borderId="14" fillId="0" fontId="20" numFmtId="0" xfId="0" applyAlignment="1" applyBorder="1" applyFont="1">
      <alignment horizontal="center" shrinkToFit="0" vertical="bottom" wrapText="0"/>
    </xf>
    <xf borderId="15" fillId="0" fontId="5" numFmtId="0" xfId="0" applyBorder="1" applyFont="1"/>
    <xf borderId="0" fillId="0" fontId="20" numFmtId="0" xfId="0" applyAlignment="1" applyFont="1">
      <alignment horizontal="center" shrinkToFit="0" vertical="bottom" wrapText="0"/>
    </xf>
    <xf borderId="15" fillId="0" fontId="20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16" fillId="0" fontId="21" numFmtId="0" xfId="0" applyAlignment="1" applyBorder="1" applyFont="1">
      <alignment horizontal="left" shrinkToFit="0" vertical="bottom" wrapText="0"/>
    </xf>
    <xf borderId="6" fillId="0" fontId="21" numFmtId="0" xfId="0" applyAlignment="1" applyBorder="1" applyFont="1">
      <alignment horizontal="center" shrinkToFit="0" vertical="bottom" wrapText="0"/>
    </xf>
    <xf borderId="6" fillId="0" fontId="21" numFmtId="49" xfId="0" applyAlignment="1" applyBorder="1" applyFont="1" applyNumberFormat="1">
      <alignment horizontal="center" shrinkToFit="0" vertical="bottom" wrapText="0"/>
    </xf>
    <xf borderId="17" fillId="0" fontId="5" numFmtId="0" xfId="0" applyBorder="1" applyFont="1"/>
    <xf borderId="6" fillId="0" fontId="21" numFmtId="4" xfId="0" applyAlignment="1" applyBorder="1" applyFont="1" applyNumberFormat="1">
      <alignment horizontal="right" shrinkToFit="0" vertical="bottom" wrapText="0"/>
    </xf>
    <xf borderId="16" fillId="0" fontId="22" numFmtId="0" xfId="0" applyAlignment="1" applyBorder="1" applyFont="1">
      <alignment horizontal="center" shrinkToFit="0" vertical="center" wrapText="1"/>
    </xf>
    <xf borderId="4" fillId="0" fontId="22" numFmtId="4" xfId="0" applyAlignment="1" applyBorder="1" applyFont="1" applyNumberFormat="1">
      <alignment horizontal="right" shrinkToFit="0" vertical="bottom" wrapText="0"/>
    </xf>
    <xf borderId="4" fillId="0" fontId="22" numFmtId="0" xfId="0" applyAlignment="1" applyBorder="1" applyFont="1">
      <alignment shrinkToFit="0" vertical="bottom" wrapText="0"/>
    </xf>
    <xf borderId="18" fillId="0" fontId="22" numFmtId="4" xfId="0" applyAlignment="1" applyBorder="1" applyFont="1" applyNumberFormat="1">
      <alignment shrinkToFit="0" vertical="bottom" wrapText="0"/>
    </xf>
    <xf borderId="19" fillId="0" fontId="22" numFmtId="0" xfId="0" applyAlignment="1" applyBorder="1" applyFont="1">
      <alignment horizontal="center" shrinkToFit="0" vertical="bottom" wrapText="0"/>
    </xf>
    <xf borderId="5" fillId="0" fontId="21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horizontal="center" shrinkToFit="0" vertical="bottom" wrapText="0"/>
    </xf>
    <xf borderId="4" fillId="0" fontId="21" numFmtId="4" xfId="0" applyAlignment="1" applyBorder="1" applyFont="1" applyNumberFormat="1">
      <alignment horizontal="right" shrinkToFit="0" vertical="bottom" wrapText="0"/>
    </xf>
    <xf borderId="18" fillId="0" fontId="21" numFmtId="4" xfId="0" applyAlignment="1" applyBorder="1" applyFont="1" applyNumberFormat="1">
      <alignment shrinkToFit="0" vertical="bottom" wrapText="0"/>
    </xf>
    <xf borderId="5" fillId="0" fontId="21" numFmtId="0" xfId="0" applyAlignment="1" applyBorder="1" applyFont="1">
      <alignment horizontal="left" shrinkToFit="0" vertical="bottom" wrapText="0"/>
    </xf>
    <xf borderId="5" fillId="0" fontId="22" numFmtId="0" xfId="0" applyAlignment="1" applyBorder="1" applyFont="1">
      <alignment horizontal="left" shrinkToFit="0" vertical="bottom" wrapText="0"/>
    </xf>
    <xf borderId="18" fillId="0" fontId="21" numFmtId="4" xfId="0" applyAlignment="1" applyBorder="1" applyFont="1" applyNumberFormat="1">
      <alignment horizontal="right" shrinkToFit="0" vertical="bottom" wrapText="0"/>
    </xf>
    <xf borderId="0" fillId="0" fontId="21" numFmtId="39" xfId="0" applyAlignment="1" applyFont="1" applyNumberFormat="1">
      <alignment shrinkToFit="0" vertical="bottom" wrapText="0"/>
    </xf>
    <xf borderId="0" fillId="0" fontId="21" numFmtId="4" xfId="0" applyAlignment="1" applyFont="1" applyNumberFormat="1">
      <alignment shrinkToFit="0" vertical="bottom" wrapText="0"/>
    </xf>
    <xf borderId="4" fillId="0" fontId="21" numFmtId="0" xfId="0" applyAlignment="1" applyBorder="1" applyFont="1">
      <alignment shrinkToFit="0" vertical="bottom" wrapText="0"/>
    </xf>
    <xf borderId="20" fillId="0" fontId="22" numFmtId="0" xfId="0" applyAlignment="1" applyBorder="1" applyFont="1">
      <alignment horizontal="center" shrinkToFit="0" vertical="bottom" wrapText="0"/>
    </xf>
    <xf borderId="21" fillId="0" fontId="22" numFmtId="0" xfId="0" applyAlignment="1" applyBorder="1" applyFont="1">
      <alignment horizontal="left" shrinkToFit="0" vertical="bottom" wrapText="0"/>
    </xf>
    <xf borderId="22" fillId="0" fontId="5" numFmtId="0" xfId="0" applyBorder="1" applyFont="1"/>
    <xf borderId="23" fillId="0" fontId="22" numFmtId="0" xfId="0" applyAlignment="1" applyBorder="1" applyFont="1">
      <alignment shrinkToFit="0" vertical="bottom" wrapText="0"/>
    </xf>
    <xf borderId="23" fillId="0" fontId="21" numFmtId="4" xfId="0" applyAlignment="1" applyBorder="1" applyFont="1" applyNumberFormat="1">
      <alignment horizontal="right" shrinkToFit="0" vertical="bottom" wrapText="0"/>
    </xf>
    <xf borderId="23" fillId="0" fontId="22" numFmtId="0" xfId="0" applyAlignment="1" applyBorder="1" applyFont="1">
      <alignment horizontal="center" shrinkToFit="0" vertical="bottom" wrapText="0"/>
    </xf>
    <xf borderId="24" fillId="0" fontId="21" numFmtId="4" xfId="0" applyAlignment="1" applyBorder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4" xfId="0" applyAlignment="1" applyFont="1" applyNumberFormat="1">
      <alignment horizontal="right" shrinkToFit="0" vertical="bottom" wrapText="0"/>
    </xf>
    <xf borderId="0" fillId="0" fontId="22" numFmtId="4" xfId="0" applyAlignment="1" applyFont="1" applyNumberFormat="1">
      <alignment shrinkToFit="0" vertical="bottom" wrapText="0"/>
    </xf>
    <xf borderId="0" fillId="0" fontId="21" numFmtId="4" xfId="0" applyAlignment="1" applyFont="1" applyNumberFormat="1">
      <alignment horizontal="right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4" xfId="0" applyAlignment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4" xfId="0" applyAlignment="1" applyFont="1" applyNumberFormat="1">
      <alignment shrinkToFit="0" vertical="bottom" wrapText="0"/>
    </xf>
    <xf borderId="0" fillId="0" fontId="23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center" shrinkToFit="0" vertical="bottom" wrapText="0"/>
    </xf>
    <xf borderId="11" fillId="0" fontId="18" numFmtId="0" xfId="0" applyAlignment="1" applyBorder="1" applyFont="1">
      <alignment shrinkToFit="0" vertical="bottom" wrapText="0"/>
    </xf>
    <xf borderId="12" fillId="0" fontId="18" numFmtId="0" xfId="0" applyAlignment="1" applyBorder="1" applyFont="1">
      <alignment shrinkToFit="0" vertical="bottom" wrapText="0"/>
    </xf>
    <xf borderId="13" fillId="0" fontId="18" numFmtId="0" xfId="0" applyAlignment="1" applyBorder="1" applyFont="1">
      <alignment shrinkToFit="0" vertical="bottom" wrapText="0"/>
    </xf>
    <xf borderId="14" fillId="0" fontId="18" numFmtId="0" xfId="0" applyAlignment="1" applyBorder="1" applyFont="1">
      <alignment shrinkToFit="0" vertical="bottom" wrapText="0"/>
    </xf>
    <xf borderId="5" fillId="0" fontId="26" numFmtId="0" xfId="0" applyAlignment="1" applyBorder="1" applyFont="1">
      <alignment horizontal="center" shrinkToFit="0" vertical="bottom" wrapText="0"/>
    </xf>
    <xf borderId="4" fillId="0" fontId="27" numFmtId="164" xfId="0" applyAlignment="1" applyBorder="1" applyFont="1" applyNumberFormat="1">
      <alignment horizontal="center" shrinkToFit="0" vertical="center" wrapText="0"/>
    </xf>
    <xf borderId="15" fillId="0" fontId="18" numFmtId="0" xfId="0" applyAlignment="1" applyBorder="1" applyFont="1">
      <alignment shrinkToFit="0" vertical="bottom" wrapText="0"/>
    </xf>
    <xf borderId="25" fillId="0" fontId="26" numFmtId="0" xfId="0" applyAlignment="1" applyBorder="1" applyFont="1">
      <alignment horizontal="center" shrinkToFit="0" vertical="bottom" wrapText="1"/>
    </xf>
    <xf borderId="26" fillId="0" fontId="5" numFmtId="0" xfId="0" applyBorder="1" applyFont="1"/>
    <xf borderId="2" fillId="0" fontId="27" numFmtId="164" xfId="0" applyAlignment="1" applyBorder="1" applyFont="1" applyNumberFormat="1">
      <alignment horizontal="center" shrinkToFit="0" vertical="center" wrapText="0"/>
    </xf>
    <xf borderId="27" fillId="0" fontId="5" numFmtId="0" xfId="0" applyBorder="1" applyFont="1"/>
    <xf borderId="28" fillId="0" fontId="5" numFmtId="0" xfId="0" applyBorder="1" applyFont="1"/>
    <xf borderId="25" fillId="0" fontId="19" numFmtId="0" xfId="0" applyAlignment="1" applyBorder="1" applyFont="1">
      <alignment horizontal="center" shrinkToFit="0" vertical="top" wrapText="0"/>
    </xf>
    <xf borderId="29" fillId="0" fontId="5" numFmtId="0" xfId="0" applyBorder="1" applyFont="1"/>
    <xf borderId="27" fillId="0" fontId="28" numFmtId="49" xfId="0" applyAlignment="1" applyBorder="1" applyFont="1" applyNumberFormat="1">
      <alignment horizontal="center" shrinkToFit="0" vertical="top" wrapText="0"/>
    </xf>
    <xf borderId="14" fillId="0" fontId="27" numFmtId="0" xfId="0" applyAlignment="1" applyBorder="1" applyFon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29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15" fillId="0" fontId="27" numFmtId="14" xfId="0" applyAlignment="1" applyBorder="1" applyFont="1" applyNumberFormat="1">
      <alignment shrinkToFit="0" vertical="bottom" wrapText="0"/>
    </xf>
    <xf borderId="14" fillId="0" fontId="29" numFmtId="0" xfId="0" applyAlignment="1" applyBorder="1" applyFont="1">
      <alignment horizontal="center" shrinkToFit="0" vertical="center" wrapText="0"/>
    </xf>
    <xf borderId="15" fillId="0" fontId="27" numFmtId="0" xfId="0" applyAlignment="1" applyBorder="1" applyFont="1">
      <alignment shrinkToFit="0" vertical="bottom" wrapText="0"/>
    </xf>
    <xf borderId="14" fillId="0" fontId="26" numFmtId="0" xfId="0" applyAlignment="1" applyBorder="1" applyFont="1">
      <alignment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left" shrinkToFit="0" vertical="top" wrapText="0"/>
    </xf>
    <xf borderId="0" fillId="0" fontId="30" numFmtId="0" xfId="0" applyAlignment="1" applyFont="1">
      <alignment shrinkToFit="0" vertical="top" wrapText="0"/>
    </xf>
    <xf borderId="0" fillId="0" fontId="16" numFmtId="0" xfId="0" applyAlignment="1" applyFont="1">
      <alignment shrinkToFit="0" vertical="top" wrapText="0"/>
    </xf>
    <xf borderId="0" fillId="0" fontId="30" numFmtId="0" xfId="0" applyAlignment="1" applyFont="1">
      <alignment horizontal="center" shrinkToFit="0" vertical="top" wrapText="0"/>
    </xf>
    <xf borderId="0" fillId="0" fontId="16" numFmtId="0" xfId="0" applyAlignment="1" applyFont="1">
      <alignment shrinkToFit="0" vertical="top" wrapText="1"/>
    </xf>
    <xf borderId="0" fillId="0" fontId="26" numFmtId="0" xfId="0" applyAlignment="1" applyFont="1">
      <alignment shrinkToFit="0" vertical="bottom" wrapText="0"/>
    </xf>
    <xf borderId="15" fillId="0" fontId="26" numFmtId="0" xfId="0" applyAlignment="1" applyBorder="1" applyFont="1">
      <alignment shrinkToFit="0" vertical="bottom" wrapText="0"/>
    </xf>
    <xf borderId="30" fillId="0" fontId="26" numFmtId="0" xfId="0" applyAlignment="1" applyBorder="1" applyFont="1">
      <alignment horizontal="center" shrinkToFit="0" vertical="center" wrapText="1"/>
    </xf>
    <xf borderId="19" fillId="0" fontId="26" numFmtId="0" xfId="0" applyAlignment="1" applyBorder="1" applyFont="1">
      <alignment horizontal="center" shrinkToFit="0" vertical="center" wrapText="0"/>
    </xf>
    <xf borderId="4" fillId="0" fontId="26" numFmtId="0" xfId="0" applyAlignment="1" applyBorder="1" applyFont="1">
      <alignment horizontal="center" shrinkToFit="0" vertical="center" wrapText="0"/>
    </xf>
    <xf borderId="4" fillId="0" fontId="26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center" shrinkToFit="0" vertical="center" wrapText="1"/>
    </xf>
    <xf borderId="18" fillId="0" fontId="26" numFmtId="0" xfId="0" applyAlignment="1" applyBorder="1" applyFont="1">
      <alignment horizontal="center" shrinkToFit="0" vertical="center" wrapText="0"/>
    </xf>
    <xf borderId="19" fillId="0" fontId="27" numFmtId="49" xfId="0" applyAlignment="1" applyBorder="1" applyFont="1" applyNumberFormat="1">
      <alignment horizontal="center" shrinkToFit="0" vertical="bottom" wrapText="0"/>
    </xf>
    <xf borderId="4" fillId="0" fontId="27" numFmtId="49" xfId="0" applyAlignment="1" applyBorder="1" applyFont="1" applyNumberFormat="1">
      <alignment horizontal="center" shrinkToFit="0" vertical="bottom" wrapText="0"/>
    </xf>
    <xf borderId="4" fillId="0" fontId="27" numFmtId="167" xfId="0" applyAlignment="1" applyBorder="1" applyFont="1" applyNumberFormat="1">
      <alignment horizontal="center" shrinkToFit="0" vertical="center" wrapText="0"/>
    </xf>
    <xf borderId="5" fillId="0" fontId="31" numFmtId="0" xfId="0" applyAlignment="1" applyBorder="1" applyFont="1">
      <alignment horizontal="center" shrinkToFit="0" vertical="center" wrapText="0"/>
    </xf>
    <xf borderId="4" fillId="0" fontId="27" numFmtId="9" xfId="0" applyAlignment="1" applyBorder="1" applyFont="1" applyNumberFormat="1">
      <alignment horizontal="center" shrinkToFit="0" vertical="center" wrapText="0"/>
    </xf>
    <xf borderId="18" fillId="0" fontId="27" numFmtId="167" xfId="0" applyAlignment="1" applyBorder="1" applyFont="1" applyNumberFormat="1">
      <alignment horizontal="center" shrinkToFit="0" vertical="center" wrapText="0"/>
    </xf>
    <xf borderId="0" fillId="0" fontId="27" numFmtId="167" xfId="0" applyAlignment="1" applyFont="1" applyNumberFormat="1">
      <alignment shrinkToFit="0" vertical="bottom" wrapText="0"/>
    </xf>
    <xf borderId="0" fillId="0" fontId="27" numFmtId="167" xfId="0" applyAlignment="1" applyFont="1" applyNumberFormat="1">
      <alignment horizontal="center" shrinkToFit="0" vertical="bottom" wrapText="0"/>
    </xf>
    <xf borderId="0" fillId="0" fontId="27" numFmtId="9" xfId="0" applyAlignment="1" applyFont="1" applyNumberFormat="1">
      <alignment shrinkToFit="0" vertical="bottom" wrapText="0"/>
    </xf>
    <xf borderId="15" fillId="0" fontId="27" numFmtId="167" xfId="0" applyAlignment="1" applyBorder="1" applyFont="1" applyNumberFormat="1">
      <alignment shrinkToFit="0" vertical="bottom" wrapText="0"/>
    </xf>
    <xf borderId="0" fillId="0" fontId="18" numFmtId="168" xfId="0" applyAlignment="1" applyFont="1" applyNumberFormat="1">
      <alignment shrinkToFit="0" vertical="bottom" wrapText="0"/>
    </xf>
    <xf borderId="18" fillId="0" fontId="26" numFmtId="167" xfId="0" applyAlignment="1" applyBorder="1" applyFont="1" applyNumberFormat="1">
      <alignment shrinkToFit="0" vertical="bottom" wrapText="0"/>
    </xf>
    <xf borderId="0" fillId="0" fontId="26" numFmtId="9" xfId="0" applyAlignment="1" applyFont="1" applyNumberFormat="1">
      <alignment shrinkToFit="0" vertical="bottom" wrapText="0"/>
    </xf>
    <xf borderId="15" fillId="0" fontId="26" numFmtId="167" xfId="0" applyAlignment="1" applyBorder="1" applyFont="1" applyNumberFormat="1">
      <alignment shrinkToFit="0" vertical="bottom" wrapText="0"/>
    </xf>
    <xf borderId="31" fillId="0" fontId="27" numFmtId="0" xfId="0" applyAlignment="1" applyBorder="1" applyFont="1">
      <alignment shrinkToFit="0" vertical="bottom" wrapText="0"/>
    </xf>
    <xf borderId="1" fillId="0" fontId="27" numFmtId="0" xfId="0" applyAlignment="1" applyBorder="1" applyFont="1">
      <alignment horizontal="center" shrinkToFit="0" vertical="bottom" wrapText="0"/>
    </xf>
    <xf borderId="1" fillId="0" fontId="27" numFmtId="167" xfId="0" applyAlignment="1" applyBorder="1" applyFont="1" applyNumberFormat="1">
      <alignment shrinkToFit="0" vertical="bottom" wrapText="0"/>
    </xf>
    <xf borderId="1" fillId="0" fontId="27" numFmtId="9" xfId="0" applyAlignment="1" applyBorder="1" applyFont="1" applyNumberFormat="1">
      <alignment shrinkToFit="0" vertical="bottom" wrapText="0"/>
    </xf>
    <xf borderId="1" fillId="0" fontId="27" numFmtId="0" xfId="0" applyAlignment="1" applyBorder="1" applyFont="1">
      <alignment shrinkToFit="0" vertical="bottom" wrapText="0"/>
    </xf>
    <xf borderId="14" fillId="0" fontId="26" numFmtId="0" xfId="0" applyAlignment="1" applyBorder="1" applyFont="1">
      <alignment horizontal="center" shrinkToFit="0" vertical="bottom" wrapText="0"/>
    </xf>
    <xf borderId="32" fillId="0" fontId="26" numFmtId="0" xfId="0" applyAlignment="1" applyBorder="1" applyFont="1">
      <alignment shrinkToFit="0" vertical="bottom" wrapText="0"/>
    </xf>
    <xf borderId="33" fillId="0" fontId="26" numFmtId="0" xfId="0" applyAlignment="1" applyBorder="1" applyFont="1">
      <alignment horizontal="center" shrinkToFit="0" vertical="bottom" wrapText="0"/>
    </xf>
    <xf borderId="33" fillId="0" fontId="19" numFmtId="0" xfId="0" applyAlignment="1" applyBorder="1" applyFont="1">
      <alignment shrinkToFit="0" vertical="bottom" wrapText="0"/>
    </xf>
    <xf borderId="33" fillId="0" fontId="18" numFmtId="0" xfId="0" applyAlignment="1" applyBorder="1" applyFont="1">
      <alignment shrinkToFit="0" vertical="bottom" wrapText="0"/>
    </xf>
    <xf borderId="33" fillId="0" fontId="27" numFmtId="0" xfId="0" applyAlignment="1" applyBorder="1" applyFont="1">
      <alignment shrinkToFit="0" vertical="bottom" wrapText="0"/>
    </xf>
    <xf borderId="33" fillId="0" fontId="27" numFmtId="0" xfId="0" applyAlignment="1" applyBorder="1" applyFont="1">
      <alignment horizontal="center" shrinkToFit="0" vertical="bottom" wrapText="0"/>
    </xf>
    <xf borderId="34" fillId="0" fontId="27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top" wrapText="0"/>
    </xf>
    <xf borderId="25" fillId="0" fontId="8" numFmtId="0" xfId="0" applyAlignment="1" applyBorder="1" applyFont="1">
      <alignment shrinkToFit="0" vertical="bottom" wrapText="0"/>
    </xf>
    <xf borderId="29" fillId="0" fontId="8" numFmtId="0" xfId="0" applyAlignment="1" applyBorder="1" applyFont="1">
      <alignment horizontal="center" shrinkToFit="0" vertical="top" wrapText="0"/>
    </xf>
    <xf borderId="26" fillId="0" fontId="8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0"/>
    </xf>
    <xf borderId="27" fillId="0" fontId="1" numFmtId="49" xfId="0" applyAlignment="1" applyBorder="1" applyFont="1" applyNumberFormat="1">
      <alignment horizontal="center" shrinkToFit="0" vertical="top" wrapText="0"/>
    </xf>
    <xf borderId="8" fillId="0" fontId="32" numFmtId="164" xfId="0" applyAlignment="1" applyBorder="1" applyFont="1" applyNumberFormat="1">
      <alignment horizontal="center" shrinkToFit="0" vertical="top" wrapText="0"/>
    </xf>
    <xf borderId="0" fillId="0" fontId="32" numFmtId="14" xfId="0" applyAlignment="1" applyFont="1" applyNumberFormat="1">
      <alignment horizontal="center" shrinkToFit="0" vertical="top" wrapText="0"/>
    </xf>
    <xf borderId="0" fillId="0" fontId="12" numFmtId="0" xfId="0" applyAlignment="1" applyFont="1">
      <alignment horizontal="left" shrinkToFit="0" vertical="top" wrapText="0"/>
    </xf>
    <xf borderId="25" fillId="0" fontId="12" numFmtId="0" xfId="0" applyAlignment="1" applyBorder="1" applyFont="1">
      <alignment horizontal="left" shrinkToFit="0" vertical="top" wrapText="0"/>
    </xf>
    <xf borderId="29" fillId="0" fontId="8" numFmtId="0" xfId="0" applyAlignment="1" applyBorder="1" applyFont="1">
      <alignment shrinkToFit="0" vertical="bottom" wrapText="0"/>
    </xf>
    <xf borderId="27" fillId="0" fontId="16" numFmtId="0" xfId="0" applyAlignment="1" applyBorder="1" applyFont="1">
      <alignment horizontal="left" shrinkToFit="0" vertical="top" wrapText="0"/>
    </xf>
    <xf borderId="1" fillId="0" fontId="8" numFmtId="0" xfId="0" applyAlignment="1" applyBorder="1" applyFont="1">
      <alignment shrinkToFit="0" vertical="bottom" wrapText="0"/>
    </xf>
    <xf borderId="28" fillId="0" fontId="8" numFmtId="0" xfId="0" applyAlignment="1" applyBorder="1" applyFont="1">
      <alignment shrinkToFit="0" vertical="bottom" wrapText="0"/>
    </xf>
    <xf borderId="27" fillId="0" fontId="16" numFmtId="0" xfId="0" applyAlignment="1" applyBorder="1" applyFont="1">
      <alignment horizontal="center" shrinkToFit="0" vertical="top" wrapText="0"/>
    </xf>
    <xf borderId="0" fillId="0" fontId="16" numFmtId="0" xfId="0" applyAlignment="1" applyFont="1">
      <alignment horizontal="left" shrinkToFit="0" vertical="top" wrapText="0"/>
    </xf>
    <xf borderId="0" fillId="0" fontId="16" numFmtId="0" xfId="0" applyAlignment="1" applyFont="1">
      <alignment horizontal="center" shrinkToFit="0" vertical="top" wrapText="0"/>
    </xf>
    <xf borderId="27" fillId="0" fontId="13" numFmtId="0" xfId="0" applyAlignment="1" applyBorder="1" applyFont="1">
      <alignment horizontal="left" shrinkToFit="0" vertical="top" wrapText="0"/>
    </xf>
    <xf borderId="1" fillId="0" fontId="12" numFmtId="0" xfId="0" applyAlignment="1" applyBorder="1" applyFont="1">
      <alignment horizontal="left" shrinkToFit="0" vertical="top" wrapText="0"/>
    </xf>
    <xf borderId="0" fillId="0" fontId="32" numFmtId="0" xfId="0" applyAlignment="1" applyFont="1">
      <alignment horizontal="center" shrinkToFit="0" vertical="top" wrapText="0"/>
    </xf>
    <xf borderId="0" fillId="0" fontId="32" numFmtId="1" xfId="0" applyAlignment="1" applyFont="1" applyNumberFormat="1">
      <alignment horizontal="center" shrinkToFit="0" vertical="top" wrapText="0"/>
    </xf>
    <xf borderId="25" fillId="0" fontId="12" numFmtId="0" xfId="0" applyAlignment="1" applyBorder="1" applyFont="1">
      <alignment horizontal="center" shrinkToFit="0" vertical="top" wrapText="0"/>
    </xf>
    <xf borderId="0" fillId="0" fontId="12" numFmtId="0" xfId="0" applyAlignment="1" applyFont="1">
      <alignment shrinkToFit="0" vertical="top" wrapText="0"/>
    </xf>
    <xf borderId="0" fillId="0" fontId="33" numFmtId="0" xfId="0" applyAlignment="1" applyFont="1">
      <alignment horizontal="left" shrinkToFit="0" vertical="center" wrapText="0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bottom" wrapText="1"/>
    </xf>
    <xf borderId="4" fillId="0" fontId="32" numFmtId="164" xfId="0" applyAlignment="1" applyBorder="1" applyFont="1" applyNumberFormat="1">
      <alignment horizontal="center" shrinkToFit="0" vertical="center" wrapText="0"/>
    </xf>
    <xf borderId="4" fillId="0" fontId="12" numFmtId="49" xfId="0" applyAlignment="1" applyBorder="1" applyFont="1" applyNumberFormat="1">
      <alignment horizontal="center" shrinkToFit="0" vertical="center" wrapText="0"/>
    </xf>
    <xf borderId="4" fillId="0" fontId="32" numFmtId="4" xfId="0" applyAlignment="1" applyBorder="1" applyFont="1" applyNumberFormat="1">
      <alignment horizontal="center" shrinkToFit="0" vertical="center" wrapText="0"/>
    </xf>
    <xf borderId="4" fillId="0" fontId="32" numFmtId="9" xfId="0" applyAlignment="1" applyBorder="1" applyFont="1" applyNumberFormat="1">
      <alignment horizontal="center" shrinkToFit="0" vertical="center" wrapText="0"/>
    </xf>
    <xf borderId="4" fillId="0" fontId="32" numFmtId="4" xfId="0" applyAlignment="1" applyBorder="1" applyFont="1" applyNumberFormat="1">
      <alignment horizontal="right" shrinkToFit="0" vertical="center" wrapText="0"/>
    </xf>
    <xf borderId="4" fillId="0" fontId="32" numFmtId="9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57150</xdr:rowOff>
    </xdr:from>
    <xdr:ext cx="26955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123825</xdr:rowOff>
    </xdr:from>
    <xdr:ext cx="2686050" cy="962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733675" cy="981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2733675" cy="990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47625</xdr:rowOff>
    </xdr:from>
    <xdr:ext cx="2676525" cy="7143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pc/Desktop/respaldo/EMPRESAS/OSAKA SUSHI/IMPUESTOS/IVA/2022/LIBROS FISCALES/L_C_2022_OSAKA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esktop/escritorio 7-7-2023/respaldo/EMPRESAS/CLIENTES ACTUALES/EMPRESAS ESPECIALES DISTRIB/COFFE DINNER 87/IMPUESTOS/IVA/2026/RESUMEN/RESUMEN_COFFE DINNER 87 2025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esktop/escritorio 7-7-2023/respaldo/EMPRESAS/CLIENTES ACTUALES/EMPRESAS ESPECIALES DISTRIB/COFFE DINNER 87/IMPUESTOS/RETENCIONES DE IVA/2026/EMISION DE COMPROBANTES/9-1ERA DE SEPTIEMBRE/PRODUC EF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ne2022"/>
      <sheetName val="declaracion feb2022"/>
      <sheetName val="Feb2022"/>
      <sheetName val="Marz2022"/>
      <sheetName val="declaracion abr2022"/>
      <sheetName val="Abr2022"/>
      <sheetName val="declaracion may2022"/>
      <sheetName val="MAY2022"/>
      <sheetName val="JUN2022"/>
      <sheetName val="Declaracion JUN2022"/>
      <sheetName val="JUL2022"/>
      <sheetName val="DeclaracionJUL2022"/>
      <sheetName val="AGOST2022_"/>
      <sheetName val="DeclaracionAGOST2022"/>
      <sheetName val="SEPT2022"/>
      <sheetName val="DeclaracionSEP2022"/>
      <sheetName val="OCT2022"/>
      <sheetName val="DeclaracionOCT2022"/>
      <sheetName val="NOV2022"/>
      <sheetName val="DeclaracionNOV2022"/>
      <sheetName val="DeclaracionDIC2022"/>
      <sheetName val="DIC2022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ERAQUINCENER2026"/>
      <sheetName val="2DAQUINCENER2026"/>
      <sheetName val="1ERAQUINCFEBRER02026"/>
      <sheetName val="2DAQUINCFEBRER02026"/>
      <sheetName val="1ERAQUINCMARZ2026"/>
      <sheetName val="2DAQUINCMARZ2026"/>
      <sheetName val="1ERAQUINCABR2026"/>
      <sheetName val="2DAQUINCABR2026"/>
      <sheetName val="1ERAQUINCMAYO2026"/>
      <sheetName val="2DAQUINCMAYO2026"/>
      <sheetName val="1ERAQUINCJUNIO2026"/>
      <sheetName val="2DAQUINCJUNIO2026"/>
      <sheetName val="1ERAQUINCJULIO2026"/>
      <sheetName val="2DAQUINCJULIO2026"/>
      <sheetName val="1ERAQUINCAGOSTO2026"/>
      <sheetName val="2DAQUINCAGOSTO2026"/>
      <sheetName val="1ERAQUINCSEPTIEMBRE2026"/>
    </sheetNames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FE_"/>
      <sheetName val="EFE_ 1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13.29"/>
    <col customWidth="1" min="4" max="4" width="21.29"/>
    <col customWidth="1" min="5" max="5" width="17.57"/>
    <col customWidth="1" min="6" max="6" width="19.0"/>
    <col customWidth="1" min="7" max="7" width="13.29"/>
    <col customWidth="1" min="8" max="8" width="16.29"/>
    <col customWidth="1" min="9" max="9" width="14.71"/>
    <col customWidth="1" min="10" max="10" width="15.29"/>
    <col customWidth="1" min="11" max="11" width="12.0"/>
    <col customWidth="1" min="12" max="12" width="14.29"/>
    <col customWidth="1" min="13" max="13" width="18.86"/>
    <col customWidth="1" min="14" max="14" width="14.29"/>
    <col customWidth="1" min="15" max="15" width="14.57"/>
    <col customWidth="1" min="16" max="16" width="11.14"/>
    <col customWidth="1" min="17" max="17" width="11.86"/>
    <col customWidth="1" min="18" max="18" width="11.0"/>
  </cols>
  <sheetData>
    <row r="1" ht="15.0" customHeight="1">
      <c r="A1" s="1"/>
      <c r="B1" s="2"/>
      <c r="C1" s="2"/>
      <c r="D1" s="3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  <c r="Q1" s="7"/>
      <c r="R1" s="1"/>
    </row>
    <row r="2" ht="20.25" customHeight="1">
      <c r="A2" s="1"/>
      <c r="B2" s="1"/>
      <c r="C2" s="1"/>
      <c r="D2" s="1"/>
      <c r="E2" s="8" t="s">
        <v>0</v>
      </c>
      <c r="F2" s="6"/>
      <c r="G2" s="6"/>
      <c r="H2" s="6"/>
      <c r="I2" s="6"/>
      <c r="J2" s="6"/>
      <c r="K2" s="6"/>
      <c r="L2" s="6"/>
      <c r="M2" s="6"/>
      <c r="N2" s="9"/>
      <c r="O2" s="9"/>
      <c r="P2" s="6"/>
      <c r="Q2" s="9"/>
      <c r="R2" s="1"/>
    </row>
    <row r="3" ht="20.25" customHeight="1">
      <c r="A3" s="1"/>
      <c r="B3" s="1"/>
      <c r="C3" s="1"/>
      <c r="D3" s="1"/>
      <c r="E3" s="10" t="s">
        <v>1</v>
      </c>
      <c r="F3" s="1"/>
      <c r="G3" s="6"/>
      <c r="H3" s="11"/>
      <c r="I3" s="11"/>
      <c r="J3" s="11" t="s">
        <v>2</v>
      </c>
      <c r="K3" s="11"/>
      <c r="L3" s="6"/>
      <c r="M3" s="11"/>
      <c r="N3" s="11"/>
      <c r="O3" s="11"/>
      <c r="P3" s="6"/>
      <c r="Q3" s="9"/>
      <c r="R3" s="1"/>
    </row>
    <row r="4" ht="14.25" customHeight="1">
      <c r="A4" s="1"/>
      <c r="B4" s="1"/>
      <c r="C4" s="1"/>
      <c r="D4" s="1"/>
      <c r="E4" s="6"/>
      <c r="F4" s="6"/>
      <c r="G4" s="6"/>
      <c r="H4" s="6"/>
      <c r="I4" s="6"/>
      <c r="J4" s="6"/>
      <c r="K4" s="6"/>
      <c r="L4" s="6"/>
      <c r="M4" s="6"/>
      <c r="N4" s="9"/>
      <c r="O4" s="9"/>
      <c r="P4" s="6"/>
      <c r="Q4" s="9"/>
      <c r="R4" s="1"/>
    </row>
    <row r="5" ht="15.0" customHeight="1">
      <c r="A5" s="1"/>
      <c r="B5" s="1"/>
      <c r="C5" s="1"/>
      <c r="D5" s="1"/>
      <c r="E5" s="6"/>
      <c r="F5" s="6"/>
      <c r="G5" s="6"/>
      <c r="H5" s="6"/>
      <c r="I5" s="4" t="s">
        <v>3</v>
      </c>
      <c r="J5" s="12">
        <v>46266.0</v>
      </c>
      <c r="K5" s="13" t="s">
        <v>4</v>
      </c>
      <c r="L5" s="14">
        <v>46280.0</v>
      </c>
      <c r="N5" s="6"/>
      <c r="O5" s="6"/>
      <c r="P5" s="6"/>
      <c r="Q5" s="9"/>
      <c r="R5" s="1"/>
    </row>
    <row r="6" ht="14.25" customHeight="1">
      <c r="A6" s="1"/>
      <c r="B6" s="1"/>
      <c r="C6" s="1"/>
      <c r="D6" s="1"/>
      <c r="E6" s="6"/>
      <c r="F6" s="6"/>
      <c r="G6" s="6"/>
      <c r="H6" s="6"/>
      <c r="I6" s="6"/>
      <c r="J6" s="6"/>
      <c r="K6" s="6"/>
      <c r="L6" s="6"/>
      <c r="M6" s="6"/>
      <c r="N6" s="9"/>
      <c r="O6" s="9"/>
      <c r="P6" s="6"/>
      <c r="Q6" s="9"/>
      <c r="R6" s="1"/>
    </row>
    <row r="7" ht="32.25" customHeight="1">
      <c r="A7" s="1"/>
      <c r="B7" s="15"/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Q7" s="18"/>
      <c r="R7" s="1"/>
    </row>
    <row r="8" ht="12.75" customHeight="1">
      <c r="A8" s="19" t="s">
        <v>5</v>
      </c>
      <c r="B8" s="19" t="s">
        <v>6</v>
      </c>
      <c r="C8" s="20" t="s">
        <v>7</v>
      </c>
      <c r="D8" s="19" t="s">
        <v>8</v>
      </c>
      <c r="E8" s="21" t="s">
        <v>9</v>
      </c>
      <c r="F8" s="19" t="s">
        <v>10</v>
      </c>
      <c r="G8" s="19" t="s">
        <v>11</v>
      </c>
      <c r="H8" s="19" t="s">
        <v>12</v>
      </c>
      <c r="I8" s="19" t="s">
        <v>13</v>
      </c>
      <c r="J8" s="19" t="s">
        <v>14</v>
      </c>
      <c r="K8" s="19" t="s">
        <v>15</v>
      </c>
      <c r="L8" s="22" t="s">
        <v>16</v>
      </c>
      <c r="M8" s="21" t="s">
        <v>17</v>
      </c>
      <c r="N8" s="21" t="s">
        <v>18</v>
      </c>
      <c r="O8" s="22" t="s">
        <v>19</v>
      </c>
      <c r="P8" s="23" t="s">
        <v>20</v>
      </c>
      <c r="Q8" s="19" t="s">
        <v>21</v>
      </c>
      <c r="R8" s="1"/>
    </row>
    <row r="9" ht="47.2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1"/>
    </row>
    <row r="10" ht="28.5" customHeight="1">
      <c r="A10" s="25">
        <v>1.0</v>
      </c>
      <c r="B10" s="26">
        <v>46171.0</v>
      </c>
      <c r="C10" s="27" t="s">
        <v>22</v>
      </c>
      <c r="D10" s="28" t="s">
        <v>23</v>
      </c>
      <c r="E10" s="29" t="s">
        <v>24</v>
      </c>
      <c r="F10" s="29" t="s">
        <v>25</v>
      </c>
      <c r="G10" s="30" t="s">
        <v>26</v>
      </c>
      <c r="H10" s="30" t="s">
        <v>27</v>
      </c>
      <c r="I10" s="30" t="s">
        <v>27</v>
      </c>
      <c r="J10" s="25" t="s">
        <v>28</v>
      </c>
      <c r="K10" s="30" t="s">
        <v>27</v>
      </c>
      <c r="L10" s="31" t="str">
        <f t="shared" ref="L10:L13" si="1">+M10+N10+P10</f>
        <v>479,066.07</v>
      </c>
      <c r="M10" s="32">
        <v>0.0</v>
      </c>
      <c r="N10" s="32">
        <v>412987.99</v>
      </c>
      <c r="O10" s="33">
        <v>0.16</v>
      </c>
      <c r="P10" s="32" t="str">
        <f t="shared" ref="P10:P13" si="2">+N10*O10</f>
        <v>66,078.08</v>
      </c>
      <c r="Q10" s="32" t="str">
        <f t="shared" ref="Q10:Q13" si="3">+P10*75%</f>
        <v>49,558.56</v>
      </c>
      <c r="R10" s="1"/>
    </row>
    <row r="11" ht="28.5" customHeight="1">
      <c r="A11" s="25">
        <v>2.0</v>
      </c>
      <c r="B11" s="26">
        <v>46171.0</v>
      </c>
      <c r="C11" s="27" t="s">
        <v>22</v>
      </c>
      <c r="D11" s="28" t="s">
        <v>23</v>
      </c>
      <c r="E11" s="29" t="s">
        <v>24</v>
      </c>
      <c r="F11" s="29" t="s">
        <v>29</v>
      </c>
      <c r="G11" s="30" t="s">
        <v>30</v>
      </c>
      <c r="H11" s="30" t="s">
        <v>27</v>
      </c>
      <c r="I11" s="30" t="s">
        <v>27</v>
      </c>
      <c r="J11" s="25" t="s">
        <v>28</v>
      </c>
      <c r="K11" s="30" t="s">
        <v>25</v>
      </c>
      <c r="L11" s="31" t="str">
        <f t="shared" si="1"/>
        <v>-38,899.35</v>
      </c>
      <c r="M11" s="32">
        <v>0.0</v>
      </c>
      <c r="N11" s="32">
        <v>-33533.92</v>
      </c>
      <c r="O11" s="33">
        <v>0.16</v>
      </c>
      <c r="P11" s="32" t="str">
        <f t="shared" si="2"/>
        <v>-5,365.43</v>
      </c>
      <c r="Q11" s="32" t="str">
        <f t="shared" si="3"/>
        <v>-4,024.07</v>
      </c>
      <c r="R11" s="1"/>
    </row>
    <row r="12" ht="14.25" customHeight="1">
      <c r="A12" s="25">
        <v>3.0</v>
      </c>
      <c r="B12" s="26">
        <v>46259.0</v>
      </c>
      <c r="C12" s="30" t="s">
        <v>31</v>
      </c>
      <c r="D12" s="28" t="s">
        <v>32</v>
      </c>
      <c r="E12" s="29" t="s">
        <v>33</v>
      </c>
      <c r="F12" s="29" t="s">
        <v>34</v>
      </c>
      <c r="G12" s="30" t="s">
        <v>35</v>
      </c>
      <c r="H12" s="30" t="s">
        <v>27</v>
      </c>
      <c r="I12" s="30" t="s">
        <v>27</v>
      </c>
      <c r="J12" s="25" t="s">
        <v>28</v>
      </c>
      <c r="K12" s="30" t="s">
        <v>27</v>
      </c>
      <c r="L12" s="31" t="str">
        <f t="shared" si="1"/>
        <v>119,590.55</v>
      </c>
      <c r="M12" s="32">
        <v>0.0</v>
      </c>
      <c r="N12" s="32">
        <v>103095.3</v>
      </c>
      <c r="O12" s="33">
        <v>0.16</v>
      </c>
      <c r="P12" s="32" t="str">
        <f t="shared" si="2"/>
        <v>16,495.25</v>
      </c>
      <c r="Q12" s="32" t="str">
        <f t="shared" si="3"/>
        <v>12,371.44</v>
      </c>
      <c r="R12" s="1"/>
    </row>
    <row r="13" ht="14.25" customHeight="1">
      <c r="A13" s="25">
        <v>4.0</v>
      </c>
      <c r="B13" s="26">
        <v>46280.0</v>
      </c>
      <c r="C13" s="34" t="s">
        <v>36</v>
      </c>
      <c r="D13" s="35" t="s">
        <v>37</v>
      </c>
      <c r="E13" s="29" t="s">
        <v>38</v>
      </c>
      <c r="F13" s="29" t="s">
        <v>39</v>
      </c>
      <c r="G13" s="30" t="s">
        <v>40</v>
      </c>
      <c r="H13" s="30" t="s">
        <v>27</v>
      </c>
      <c r="I13" s="30" t="s">
        <v>27</v>
      </c>
      <c r="J13" s="25" t="s">
        <v>28</v>
      </c>
      <c r="K13" s="30" t="s">
        <v>27</v>
      </c>
      <c r="L13" s="31" t="str">
        <f t="shared" si="1"/>
        <v>1,912,320.60</v>
      </c>
      <c r="M13" s="32">
        <v>0.0</v>
      </c>
      <c r="N13" s="32">
        <v>1648552.24</v>
      </c>
      <c r="O13" s="33">
        <v>0.16</v>
      </c>
      <c r="P13" s="32" t="str">
        <f t="shared" si="2"/>
        <v>263,768.36</v>
      </c>
      <c r="Q13" s="32" t="str">
        <f t="shared" si="3"/>
        <v>197,826.27</v>
      </c>
      <c r="R13" s="1"/>
    </row>
    <row r="14" ht="24.75" customHeight="1">
      <c r="A14" s="36" t="s">
        <v>41</v>
      </c>
      <c r="B14" s="37"/>
      <c r="C14" s="37"/>
      <c r="D14" s="37"/>
      <c r="E14" s="37"/>
      <c r="F14" s="37"/>
      <c r="G14" s="37"/>
      <c r="H14" s="37"/>
      <c r="I14" s="37"/>
      <c r="J14" s="37"/>
      <c r="K14" s="38"/>
      <c r="L14" s="39" t="str">
        <f t="shared" ref="L14:N14" si="4">SUM(L10:L13)</f>
        <v>2,472,077.87</v>
      </c>
      <c r="M14" s="39" t="str">
        <f t="shared" si="4"/>
        <v>0.00</v>
      </c>
      <c r="N14" s="39" t="str">
        <f t="shared" si="4"/>
        <v>2,131,101.61</v>
      </c>
      <c r="O14" s="39"/>
      <c r="P14" s="39" t="str">
        <f t="shared" ref="P14:Q14" si="5">SUM(P10:P13)</f>
        <v>340,976.26</v>
      </c>
      <c r="Q14" s="39" t="str">
        <f t="shared" si="5"/>
        <v>255,732.19</v>
      </c>
      <c r="R14" s="40"/>
    </row>
    <row r="15" ht="24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2"/>
      <c r="M15" s="42"/>
      <c r="N15" s="42"/>
      <c r="O15" s="42"/>
      <c r="P15" s="42"/>
      <c r="Q15" s="42"/>
      <c r="R15" s="40"/>
    </row>
    <row r="16" ht="15.0" customHeight="1">
      <c r="A16" s="1"/>
      <c r="B16" s="2"/>
      <c r="C16" s="2"/>
      <c r="D16" s="3"/>
      <c r="E16" s="4"/>
      <c r="F16" s="4"/>
      <c r="G16" s="5"/>
      <c r="H16" s="5"/>
      <c r="I16" s="5"/>
      <c r="J16" s="5"/>
      <c r="K16" s="5"/>
      <c r="L16" s="6"/>
      <c r="M16" s="7"/>
      <c r="N16" s="7"/>
      <c r="O16" s="7"/>
      <c r="P16" s="7"/>
      <c r="Q16" s="7"/>
      <c r="R16" s="1"/>
    </row>
    <row r="17" ht="39.75" customHeight="1">
      <c r="A17" s="1"/>
      <c r="B17" s="1"/>
      <c r="C17" s="43" t="s">
        <v>42</v>
      </c>
      <c r="D17" s="37"/>
      <c r="E17" s="37"/>
      <c r="F17" s="37"/>
      <c r="G17" s="38"/>
      <c r="H17" s="44" t="s">
        <v>43</v>
      </c>
      <c r="I17" s="45" t="s">
        <v>44</v>
      </c>
      <c r="J17" s="46" t="s">
        <v>45</v>
      </c>
      <c r="K17" s="47"/>
      <c r="L17" s="6"/>
      <c r="M17" s="6"/>
      <c r="N17" s="6"/>
      <c r="O17" s="6"/>
      <c r="P17" s="1"/>
      <c r="Q17" s="48"/>
      <c r="R17" s="1"/>
    </row>
    <row r="18" ht="38.25" customHeight="1">
      <c r="A18" s="1"/>
      <c r="B18" s="1"/>
      <c r="C18" s="49" t="s">
        <v>46</v>
      </c>
      <c r="D18" s="37"/>
      <c r="E18" s="37"/>
      <c r="F18" s="37"/>
      <c r="G18" s="38"/>
      <c r="H18" s="50" t="str">
        <f>+M14</f>
        <v>0.00</v>
      </c>
      <c r="I18" s="51">
        <v>0.0</v>
      </c>
      <c r="J18" s="52">
        <v>0.0</v>
      </c>
      <c r="K18" s="53"/>
      <c r="L18" s="6"/>
      <c r="M18" s="6"/>
      <c r="N18" s="6"/>
      <c r="O18" s="6"/>
      <c r="P18" s="1"/>
      <c r="Q18" s="1"/>
      <c r="R18" s="1"/>
    </row>
    <row r="19" ht="24.75" customHeight="1">
      <c r="A19" s="1"/>
      <c r="B19" s="1"/>
      <c r="C19" s="49" t="s">
        <v>47</v>
      </c>
      <c r="D19" s="37"/>
      <c r="E19" s="37"/>
      <c r="F19" s="37"/>
      <c r="G19" s="38"/>
      <c r="H19" s="50">
        <v>0.0</v>
      </c>
      <c r="I19" s="51">
        <v>0.0</v>
      </c>
      <c r="J19" s="52">
        <v>0.0</v>
      </c>
      <c r="K19" s="47"/>
      <c r="L19" s="6"/>
      <c r="M19" s="6"/>
      <c r="N19" s="6"/>
      <c r="O19" s="6"/>
      <c r="P19" s="1"/>
      <c r="Q19" s="1"/>
      <c r="R19" s="1"/>
    </row>
    <row r="20" ht="24.75" customHeight="1">
      <c r="A20" s="1"/>
      <c r="B20" s="1"/>
      <c r="C20" s="49" t="s">
        <v>48</v>
      </c>
      <c r="D20" s="37"/>
      <c r="E20" s="37"/>
      <c r="F20" s="37"/>
      <c r="G20" s="38"/>
      <c r="H20" s="50">
        <v>0.0</v>
      </c>
      <c r="I20" s="51">
        <v>0.0</v>
      </c>
      <c r="J20" s="52">
        <v>0.0</v>
      </c>
      <c r="K20" s="53"/>
      <c r="L20" s="9"/>
      <c r="M20" s="6"/>
      <c r="N20" s="6"/>
      <c r="O20" s="6"/>
      <c r="P20" s="1"/>
      <c r="Q20" s="1"/>
      <c r="R20" s="1"/>
    </row>
    <row r="21" ht="24.75" customHeight="1">
      <c r="A21" s="1"/>
      <c r="B21" s="1"/>
      <c r="C21" s="49" t="s">
        <v>49</v>
      </c>
      <c r="D21" s="37"/>
      <c r="E21" s="37"/>
      <c r="F21" s="37"/>
      <c r="G21" s="38"/>
      <c r="H21" s="50" t="str">
        <f>+N14</f>
        <v>2,131,101.61</v>
      </c>
      <c r="I21" s="51">
        <v>16.0</v>
      </c>
      <c r="J21" s="52" t="str">
        <f>+H21*I21%</f>
        <v>340,976.26</v>
      </c>
      <c r="K21" s="53"/>
      <c r="L21" s="9"/>
      <c r="M21" s="9"/>
      <c r="N21" s="6"/>
      <c r="O21" s="6"/>
      <c r="P21" s="1"/>
      <c r="Q21" s="1"/>
      <c r="R21" s="1"/>
    </row>
    <row r="22" ht="24.75" customHeight="1">
      <c r="A22" s="1"/>
      <c r="B22" s="1"/>
      <c r="C22" s="49" t="s">
        <v>50</v>
      </c>
      <c r="D22" s="37"/>
      <c r="E22" s="37"/>
      <c r="F22" s="37"/>
      <c r="G22" s="38"/>
      <c r="H22" s="50">
        <v>0.0</v>
      </c>
      <c r="I22" s="51">
        <v>0.0</v>
      </c>
      <c r="J22" s="52">
        <v>0.0</v>
      </c>
      <c r="K22" s="53"/>
      <c r="L22" s="9"/>
      <c r="M22" s="9"/>
      <c r="N22" s="6"/>
      <c r="O22" s="6"/>
      <c r="P22" s="1"/>
      <c r="Q22" s="1"/>
      <c r="R22" s="1"/>
    </row>
    <row r="23" ht="24.75" customHeight="1">
      <c r="A23" s="1"/>
      <c r="B23" s="1"/>
      <c r="C23" s="49" t="s">
        <v>51</v>
      </c>
      <c r="D23" s="37"/>
      <c r="E23" s="37"/>
      <c r="F23" s="37"/>
      <c r="G23" s="38"/>
      <c r="H23" s="50">
        <v>0.0</v>
      </c>
      <c r="I23" s="51">
        <v>8.0</v>
      </c>
      <c r="J23" s="52" t="str">
        <f>+H23*8%</f>
        <v>0.00</v>
      </c>
      <c r="K23" s="53"/>
      <c r="L23" s="9"/>
      <c r="M23" s="6"/>
      <c r="N23" s="6"/>
      <c r="O23" s="6"/>
      <c r="P23" s="1"/>
      <c r="Q23" s="1"/>
      <c r="R23" s="1"/>
    </row>
    <row r="24" ht="24.75" customHeight="1">
      <c r="A24" s="1"/>
      <c r="B24" s="1"/>
      <c r="C24" s="49" t="s">
        <v>52</v>
      </c>
      <c r="D24" s="37"/>
      <c r="E24" s="37"/>
      <c r="F24" s="37"/>
      <c r="G24" s="38"/>
      <c r="H24" s="50">
        <v>0.0</v>
      </c>
      <c r="I24" s="51">
        <v>0.0</v>
      </c>
      <c r="J24" s="52">
        <v>0.0</v>
      </c>
      <c r="K24" s="53"/>
      <c r="L24" s="6"/>
      <c r="M24" s="6"/>
      <c r="N24" s="6"/>
      <c r="O24" s="6"/>
      <c r="P24" s="1"/>
      <c r="Q24" s="1"/>
      <c r="R24" s="1"/>
    </row>
    <row r="25" ht="24.75" customHeight="1">
      <c r="A25" s="1"/>
      <c r="B25" s="1"/>
      <c r="C25" s="54"/>
      <c r="D25" s="37"/>
      <c r="E25" s="37"/>
      <c r="F25" s="37"/>
      <c r="G25" s="38"/>
      <c r="H25" s="55" t="str">
        <f>SUM(H18:H24)</f>
        <v>2,131,101.61</v>
      </c>
      <c r="I25" s="55"/>
      <c r="J25" s="55" t="str">
        <f>SUM(J18:J24)</f>
        <v>340,976.26</v>
      </c>
      <c r="K25" s="56"/>
      <c r="L25" s="6"/>
      <c r="M25" s="6"/>
      <c r="N25" s="6"/>
      <c r="O25" s="6"/>
      <c r="P25" s="1"/>
      <c r="Q25" s="1"/>
      <c r="R25" s="1"/>
    </row>
    <row r="26" ht="15.0" customHeight="1">
      <c r="A26" s="1"/>
      <c r="B26" s="1"/>
      <c r="C26" s="1"/>
      <c r="D26" s="1"/>
      <c r="E26" s="6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6"/>
      <c r="R26" s="1"/>
    </row>
    <row r="27" ht="14.25" customHeight="1">
      <c r="A27" s="1"/>
      <c r="B27" s="1"/>
      <c r="C27" s="1"/>
      <c r="D27" s="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"/>
    </row>
    <row r="28" ht="14.25" customHeight="1">
      <c r="A28" s="1"/>
      <c r="B28" s="1"/>
      <c r="C28" s="1"/>
      <c r="D28" s="1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"/>
    </row>
    <row r="29" ht="14.25" customHeight="1">
      <c r="A29" s="1"/>
      <c r="B29" s="1"/>
      <c r="C29" s="1"/>
      <c r="D29" s="1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"/>
    </row>
    <row r="30" ht="14.25" customHeight="1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"/>
    </row>
    <row r="31" ht="14.25" customHeight="1">
      <c r="A31" s="1"/>
      <c r="B31" s="1"/>
      <c r="C31" s="1"/>
      <c r="D31" s="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"/>
    </row>
    <row r="32" ht="14.25" customHeight="1">
      <c r="A32" s="1"/>
      <c r="B32" s="1"/>
      <c r="C32" s="1"/>
      <c r="D32" s="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"/>
    </row>
    <row r="33" ht="14.25" customHeight="1">
      <c r="A33" s="1"/>
      <c r="B33" s="1"/>
      <c r="C33" s="1"/>
      <c r="D33" s="1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"/>
    </row>
    <row r="34" ht="14.25" customHeight="1">
      <c r="A34" s="1"/>
      <c r="B34" s="1"/>
      <c r="C34" s="1"/>
      <c r="D34" s="1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"/>
    </row>
    <row r="35" ht="14.25" customHeight="1">
      <c r="A35" s="1"/>
      <c r="B35" s="1"/>
      <c r="C35" s="1"/>
      <c r="D35" s="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"/>
    </row>
    <row r="36" ht="14.25" customHeight="1">
      <c r="A36" s="1"/>
      <c r="B36" s="1"/>
      <c r="C36" s="1"/>
      <c r="D36" s="1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"/>
    </row>
    <row r="37" ht="14.25" customHeight="1">
      <c r="A37" s="1"/>
      <c r="B37" s="1"/>
      <c r="C37" s="1"/>
      <c r="D37" s="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"/>
    </row>
    <row r="38" ht="14.25" customHeight="1">
      <c r="A38" s="1"/>
      <c r="B38" s="1"/>
      <c r="C38" s="1"/>
      <c r="D38" s="1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"/>
    </row>
    <row r="39" ht="14.25" customHeight="1">
      <c r="A39" s="1"/>
      <c r="B39" s="1"/>
      <c r="C39" s="1"/>
      <c r="D39" s="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"/>
    </row>
    <row r="40" ht="14.25" customHeight="1">
      <c r="A40" s="1"/>
      <c r="B40" s="1"/>
      <c r="C40" s="1"/>
      <c r="D40" s="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"/>
    </row>
    <row r="41" ht="14.25" customHeight="1">
      <c r="A41" s="1"/>
      <c r="B41" s="1"/>
      <c r="C41" s="1"/>
      <c r="D41" s="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"/>
    </row>
    <row r="42" ht="14.25" customHeight="1">
      <c r="A42" s="1"/>
      <c r="B42" s="1"/>
      <c r="C42" s="1"/>
      <c r="D42" s="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"/>
    </row>
    <row r="43" ht="14.25" customHeight="1">
      <c r="A43" s="1"/>
      <c r="B43" s="1"/>
      <c r="C43" s="1"/>
      <c r="D43" s="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"/>
    </row>
    <row r="44" ht="14.25" customHeight="1">
      <c r="A44" s="1"/>
      <c r="B44" s="1"/>
      <c r="C44" s="1"/>
      <c r="D44" s="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"/>
    </row>
    <row r="45" ht="14.25" customHeight="1">
      <c r="A45" s="1"/>
      <c r="B45" s="1"/>
      <c r="C45" s="1"/>
      <c r="D45" s="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"/>
    </row>
    <row r="46" ht="14.25" customHeight="1">
      <c r="A46" s="1"/>
      <c r="B46" s="1"/>
      <c r="C46" s="1"/>
      <c r="D46" s="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"/>
    </row>
    <row r="47" ht="14.25" customHeight="1">
      <c r="A47" s="1"/>
      <c r="B47" s="1"/>
      <c r="C47" s="1"/>
      <c r="D47" s="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"/>
    </row>
    <row r="48" ht="14.25" customHeight="1">
      <c r="A48" s="1"/>
      <c r="B48" s="1"/>
      <c r="C48" s="1"/>
      <c r="D48" s="1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"/>
    </row>
    <row r="49" ht="14.25" customHeight="1">
      <c r="A49" s="1"/>
      <c r="B49" s="1"/>
      <c r="C49" s="1"/>
      <c r="D49" s="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1"/>
    </row>
    <row r="50" ht="14.25" customHeight="1">
      <c r="A50" s="1"/>
      <c r="B50" s="1"/>
      <c r="C50" s="1"/>
      <c r="D50" s="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"/>
    </row>
    <row r="51" ht="14.25" customHeight="1">
      <c r="A51" s="1"/>
      <c r="B51" s="1"/>
      <c r="C51" s="1"/>
      <c r="D51" s="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1"/>
    </row>
    <row r="52" ht="14.25" customHeight="1">
      <c r="A52" s="1"/>
      <c r="B52" s="1"/>
      <c r="C52" s="1"/>
      <c r="D52" s="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"/>
    </row>
    <row r="53" ht="14.25" customHeight="1">
      <c r="A53" s="1"/>
      <c r="B53" s="1"/>
      <c r="C53" s="1"/>
      <c r="D53" s="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"/>
    </row>
    <row r="54" ht="14.25" customHeight="1">
      <c r="A54" s="1"/>
      <c r="B54" s="1"/>
      <c r="C54" s="1"/>
      <c r="D54" s="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"/>
    </row>
    <row r="55" ht="14.25" customHeight="1">
      <c r="A55" s="1"/>
      <c r="B55" s="1"/>
      <c r="C55" s="1"/>
      <c r="D55" s="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"/>
    </row>
    <row r="56" ht="14.25" customHeight="1">
      <c r="A56" s="1"/>
      <c r="B56" s="1"/>
      <c r="C56" s="1"/>
      <c r="D56" s="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"/>
    </row>
    <row r="57" ht="14.25" customHeight="1">
      <c r="A57" s="1"/>
      <c r="B57" s="1"/>
      <c r="C57" s="1"/>
      <c r="D57" s="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1"/>
    </row>
    <row r="58" ht="14.25" customHeight="1">
      <c r="A58" s="1"/>
      <c r="B58" s="1"/>
      <c r="C58" s="1"/>
      <c r="D58" s="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"/>
    </row>
    <row r="59" ht="14.25" customHeight="1">
      <c r="A59" s="1"/>
      <c r="B59" s="1"/>
      <c r="C59" s="1"/>
      <c r="D59" s="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"/>
    </row>
    <row r="60" ht="14.25" customHeight="1">
      <c r="A60" s="1"/>
      <c r="B60" s="1"/>
      <c r="C60" s="1"/>
      <c r="D60" s="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1"/>
    </row>
    <row r="61" ht="14.25" customHeight="1">
      <c r="A61" s="1"/>
      <c r="B61" s="1"/>
      <c r="C61" s="1"/>
      <c r="D61" s="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"/>
    </row>
    <row r="62" ht="14.25" customHeight="1">
      <c r="A62" s="1"/>
      <c r="B62" s="1"/>
      <c r="C62" s="1"/>
      <c r="D62" s="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"/>
    </row>
    <row r="63" ht="14.25" customHeight="1">
      <c r="A63" s="1"/>
      <c r="B63" s="1"/>
      <c r="C63" s="1"/>
      <c r="D63" s="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"/>
    </row>
    <row r="64" ht="14.25" customHeight="1">
      <c r="A64" s="1"/>
      <c r="B64" s="1"/>
      <c r="C64" s="1"/>
      <c r="D64" s="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"/>
    </row>
    <row r="65" ht="14.25" customHeight="1">
      <c r="A65" s="1"/>
      <c r="B65" s="1"/>
      <c r="C65" s="1"/>
      <c r="D65" s="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"/>
    </row>
    <row r="66" ht="14.25" customHeight="1">
      <c r="A66" s="1"/>
      <c r="B66" s="1"/>
      <c r="C66" s="1"/>
      <c r="D66" s="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"/>
    </row>
    <row r="67" ht="14.25" customHeight="1">
      <c r="A67" s="1"/>
      <c r="B67" s="1"/>
      <c r="C67" s="1"/>
      <c r="D67" s="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1"/>
    </row>
    <row r="68" ht="14.25" customHeight="1">
      <c r="A68" s="1"/>
      <c r="B68" s="1"/>
      <c r="C68" s="1"/>
      <c r="D68" s="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"/>
    </row>
    <row r="69" ht="14.25" customHeight="1">
      <c r="A69" s="1"/>
      <c r="B69" s="1"/>
      <c r="C69" s="1"/>
      <c r="D69" s="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1"/>
    </row>
    <row r="70" ht="14.25" customHeight="1">
      <c r="A70" s="1"/>
      <c r="B70" s="1"/>
      <c r="C70" s="1"/>
      <c r="D70" s="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"/>
    </row>
    <row r="71" ht="14.25" customHeight="1">
      <c r="A71" s="1"/>
      <c r="B71" s="1"/>
      <c r="C71" s="1"/>
      <c r="D71" s="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1"/>
    </row>
    <row r="72" ht="14.25" customHeight="1">
      <c r="A72" s="1"/>
      <c r="B72" s="1"/>
      <c r="C72" s="1"/>
      <c r="D72" s="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1"/>
    </row>
    <row r="73" ht="14.25" customHeight="1">
      <c r="A73" s="1"/>
      <c r="B73" s="1"/>
      <c r="C73" s="1"/>
      <c r="D73" s="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"/>
    </row>
    <row r="74" ht="14.25" customHeight="1">
      <c r="A74" s="1"/>
      <c r="B74" s="1"/>
      <c r="C74" s="1"/>
      <c r="D74" s="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1"/>
    </row>
    <row r="75" ht="14.25" customHeight="1">
      <c r="A75" s="1"/>
      <c r="B75" s="1"/>
      <c r="C75" s="1"/>
      <c r="D75" s="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1"/>
    </row>
    <row r="76" ht="14.25" customHeight="1">
      <c r="A76" s="1"/>
      <c r="B76" s="1"/>
      <c r="C76" s="1"/>
      <c r="D76" s="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"/>
    </row>
    <row r="77" ht="14.25" customHeight="1">
      <c r="A77" s="1"/>
      <c r="B77" s="1"/>
      <c r="C77" s="1"/>
      <c r="D77" s="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"/>
    </row>
    <row r="78" ht="14.25" customHeight="1">
      <c r="A78" s="1"/>
      <c r="B78" s="1"/>
      <c r="C78" s="1"/>
      <c r="D78" s="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1"/>
    </row>
    <row r="79" ht="14.25" customHeight="1">
      <c r="A79" s="1"/>
      <c r="B79" s="1"/>
      <c r="C79" s="1"/>
      <c r="D79" s="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"/>
    </row>
    <row r="80" ht="14.25" customHeight="1">
      <c r="A80" s="1"/>
      <c r="B80" s="1"/>
      <c r="C80" s="1"/>
      <c r="D80" s="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1"/>
    </row>
    <row r="81" ht="14.25" customHeight="1">
      <c r="A81" s="1"/>
      <c r="B81" s="1"/>
      <c r="C81" s="1"/>
      <c r="D81" s="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1"/>
    </row>
    <row r="82" ht="14.25" customHeight="1">
      <c r="A82" s="1"/>
      <c r="B82" s="1"/>
      <c r="C82" s="1"/>
      <c r="D82" s="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"/>
    </row>
    <row r="83" ht="14.25" customHeight="1">
      <c r="A83" s="1"/>
      <c r="B83" s="1"/>
      <c r="C83" s="1"/>
      <c r="D83" s="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1"/>
    </row>
    <row r="84" ht="14.25" customHeight="1">
      <c r="A84" s="1"/>
      <c r="B84" s="1"/>
      <c r="C84" s="1"/>
      <c r="D84" s="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1"/>
    </row>
    <row r="85" ht="14.25" customHeight="1">
      <c r="A85" s="1"/>
      <c r="B85" s="1"/>
      <c r="C85" s="1"/>
      <c r="D85" s="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"/>
    </row>
    <row r="86" ht="14.25" customHeight="1">
      <c r="A86" s="1"/>
      <c r="B86" s="1"/>
      <c r="C86" s="1"/>
      <c r="D86" s="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1"/>
    </row>
    <row r="87" ht="14.25" customHeight="1">
      <c r="A87" s="1"/>
      <c r="B87" s="1"/>
      <c r="C87" s="1"/>
      <c r="D87" s="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1"/>
    </row>
    <row r="88" ht="14.25" customHeight="1">
      <c r="A88" s="1"/>
      <c r="B88" s="1"/>
      <c r="C88" s="1"/>
      <c r="D88" s="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"/>
    </row>
    <row r="89" ht="14.25" customHeight="1">
      <c r="A89" s="1"/>
      <c r="B89" s="1"/>
      <c r="C89" s="1"/>
      <c r="D89" s="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1"/>
    </row>
    <row r="90" ht="14.25" customHeight="1">
      <c r="A90" s="1"/>
      <c r="B90" s="1"/>
      <c r="C90" s="1"/>
      <c r="D90" s="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1"/>
    </row>
    <row r="91" ht="14.25" customHeight="1">
      <c r="A91" s="1"/>
      <c r="B91" s="1"/>
      <c r="C91" s="1"/>
      <c r="D91" s="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"/>
    </row>
    <row r="92" ht="14.25" customHeight="1">
      <c r="A92" s="1"/>
      <c r="B92" s="1"/>
      <c r="C92" s="1"/>
      <c r="D92" s="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1"/>
    </row>
    <row r="93" ht="14.25" customHeight="1">
      <c r="A93" s="1"/>
      <c r="B93" s="1"/>
      <c r="C93" s="1"/>
      <c r="D93" s="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1"/>
    </row>
    <row r="94" ht="14.25" customHeight="1">
      <c r="A94" s="1"/>
      <c r="B94" s="1"/>
      <c r="C94" s="1"/>
      <c r="D94" s="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1"/>
    </row>
    <row r="95" ht="14.25" customHeight="1">
      <c r="A95" s="1"/>
      <c r="B95" s="1"/>
      <c r="C95" s="1"/>
      <c r="D95" s="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1"/>
    </row>
    <row r="96" ht="14.25" customHeight="1">
      <c r="A96" s="1"/>
      <c r="B96" s="1"/>
      <c r="C96" s="1"/>
      <c r="D96" s="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1"/>
    </row>
    <row r="97" ht="14.25" customHeight="1">
      <c r="A97" s="1"/>
      <c r="B97" s="1"/>
      <c r="C97" s="1"/>
      <c r="D97" s="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1"/>
    </row>
    <row r="98" ht="14.25" customHeight="1">
      <c r="A98" s="1"/>
      <c r="B98" s="1"/>
      <c r="C98" s="1"/>
      <c r="D98" s="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1"/>
    </row>
    <row r="99" ht="14.25" customHeight="1">
      <c r="A99" s="1"/>
      <c r="B99" s="1"/>
      <c r="C99" s="1"/>
      <c r="D99" s="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1"/>
    </row>
    <row r="100" ht="14.25" customHeight="1">
      <c r="A100" s="1"/>
      <c r="B100" s="1"/>
      <c r="C100" s="1"/>
      <c r="D100" s="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1"/>
    </row>
  </sheetData>
  <mergeCells count="29">
    <mergeCell ref="C19:G19"/>
    <mergeCell ref="C17:G17"/>
    <mergeCell ref="C18:G18"/>
    <mergeCell ref="C25:G25"/>
    <mergeCell ref="C20:G20"/>
    <mergeCell ref="C21:G21"/>
    <mergeCell ref="C22:G22"/>
    <mergeCell ref="C23:G23"/>
    <mergeCell ref="C24:G24"/>
    <mergeCell ref="A14:K14"/>
    <mergeCell ref="M8:M9"/>
    <mergeCell ref="N8:N9"/>
    <mergeCell ref="L5:M5"/>
    <mergeCell ref="O8:O9"/>
    <mergeCell ref="P8:P9"/>
    <mergeCell ref="Q8:Q9"/>
    <mergeCell ref="J8:J9"/>
    <mergeCell ref="K8:K9"/>
    <mergeCell ref="L8:L9"/>
    <mergeCell ref="P7:Q7"/>
    <mergeCell ref="G8:G9"/>
    <mergeCell ref="H8:H9"/>
    <mergeCell ref="I8:I9"/>
    <mergeCell ref="A8:A9"/>
    <mergeCell ref="B8:B9"/>
    <mergeCell ref="C8:C9"/>
    <mergeCell ref="D8:D9"/>
    <mergeCell ref="E8:E9"/>
    <mergeCell ref="F8:F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2.71"/>
    <col customWidth="1" min="4" max="4" width="16.86"/>
    <col customWidth="1" min="5" max="5" width="11.14"/>
    <col customWidth="1" min="6" max="6" width="7.14"/>
    <col customWidth="1" min="7" max="7" width="11.14"/>
    <col customWidth="1" min="8" max="8" width="12.71"/>
    <col customWidth="1" min="9" max="9" width="13.43"/>
    <col customWidth="1" min="10" max="12" width="11.14"/>
    <col customWidth="1" min="13" max="13" width="14.71"/>
    <col customWidth="1" min="14" max="14" width="12.43"/>
    <col customWidth="1" min="15" max="16" width="11.14"/>
    <col customWidth="1" min="17" max="17" width="12.14"/>
    <col customWidth="1" min="18" max="19" width="11.14"/>
    <col customWidth="1" min="20" max="20" width="9.14"/>
  </cols>
  <sheetData>
    <row r="1" ht="12.75" customHeight="1">
      <c r="A1" s="57"/>
      <c r="B1" s="58"/>
      <c r="C1" s="58"/>
      <c r="D1" s="59"/>
      <c r="E1" s="60"/>
      <c r="F1" s="60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4"/>
      <c r="T1" s="57"/>
    </row>
    <row r="2" ht="20.25" customHeight="1">
      <c r="A2" s="57"/>
      <c r="B2" s="57"/>
      <c r="C2" s="57"/>
      <c r="D2" s="57"/>
      <c r="E2" s="8" t="s">
        <v>0</v>
      </c>
      <c r="F2" s="62"/>
      <c r="G2" s="62"/>
      <c r="H2" s="62"/>
      <c r="I2" s="62"/>
      <c r="J2" s="62"/>
      <c r="K2" s="62"/>
      <c r="L2" s="62"/>
      <c r="M2" s="62"/>
      <c r="N2" s="65"/>
      <c r="O2" s="65"/>
      <c r="P2" s="62"/>
      <c r="Q2" s="65"/>
      <c r="R2" s="62"/>
      <c r="S2" s="62"/>
      <c r="T2" s="57"/>
    </row>
    <row r="3" ht="20.25" customHeight="1">
      <c r="A3" s="66"/>
      <c r="B3" s="66"/>
      <c r="C3" s="66"/>
      <c r="D3" s="66"/>
      <c r="E3" s="10" t="s">
        <v>1</v>
      </c>
      <c r="F3" s="66"/>
      <c r="G3" s="67"/>
      <c r="H3" s="68"/>
      <c r="I3" s="68"/>
      <c r="J3" s="68"/>
      <c r="K3" s="68"/>
      <c r="L3" s="69" t="s">
        <v>53</v>
      </c>
      <c r="P3" s="70"/>
      <c r="Q3" s="71"/>
      <c r="R3" s="67"/>
      <c r="S3" s="67"/>
      <c r="T3" s="66"/>
    </row>
    <row r="4" ht="15.0" customHeight="1">
      <c r="A4" s="66"/>
      <c r="B4" s="66"/>
      <c r="C4" s="66"/>
      <c r="D4" s="66"/>
      <c r="E4" s="67"/>
      <c r="F4" s="67"/>
      <c r="G4" s="67"/>
      <c r="H4" s="67"/>
      <c r="I4" s="67"/>
      <c r="J4" s="67"/>
      <c r="K4" s="67"/>
      <c r="L4" s="70"/>
      <c r="M4" s="70"/>
      <c r="N4" s="72"/>
      <c r="O4" s="72"/>
      <c r="P4" s="70"/>
      <c r="Q4" s="71"/>
      <c r="R4" s="67"/>
      <c r="S4" s="67"/>
      <c r="T4" s="66"/>
    </row>
    <row r="5" ht="15.75" customHeight="1">
      <c r="A5" s="66"/>
      <c r="B5" s="66"/>
      <c r="C5" s="66"/>
      <c r="D5" s="66"/>
      <c r="E5" s="67"/>
      <c r="F5" s="67"/>
      <c r="G5" s="67"/>
      <c r="H5" s="67"/>
      <c r="I5" s="67"/>
      <c r="J5" s="67"/>
      <c r="K5" s="67"/>
      <c r="L5" s="73" t="s">
        <v>3</v>
      </c>
      <c r="M5" s="74">
        <v>46266.0</v>
      </c>
      <c r="N5" s="75" t="s">
        <v>54</v>
      </c>
      <c r="O5" s="76">
        <v>46280.0</v>
      </c>
      <c r="Q5" s="71"/>
      <c r="R5" s="67"/>
      <c r="S5" s="67"/>
      <c r="T5" s="66"/>
    </row>
    <row r="6" ht="11.25" customHeight="1">
      <c r="A6" s="66"/>
      <c r="B6" s="66"/>
      <c r="C6" s="66"/>
      <c r="D6" s="66"/>
      <c r="E6" s="67"/>
      <c r="F6" s="67"/>
      <c r="G6" s="67"/>
      <c r="H6" s="67"/>
      <c r="I6" s="67"/>
      <c r="J6" s="67"/>
      <c r="K6" s="67"/>
      <c r="L6" s="67"/>
      <c r="M6" s="67"/>
      <c r="N6" s="71"/>
      <c r="O6" s="71"/>
      <c r="P6" s="67"/>
      <c r="Q6" s="71"/>
      <c r="R6" s="71"/>
      <c r="S6" s="67"/>
      <c r="T6" s="66"/>
    </row>
    <row r="7" ht="37.5" customHeight="1">
      <c r="A7" s="66"/>
      <c r="B7" s="77"/>
      <c r="C7" s="77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9"/>
      <c r="Q7" s="18"/>
      <c r="R7" s="18"/>
      <c r="S7" s="80"/>
      <c r="T7" s="66"/>
    </row>
    <row r="8" ht="12.75" customHeight="1">
      <c r="A8" s="81" t="s">
        <v>5</v>
      </c>
      <c r="B8" s="81" t="s">
        <v>6</v>
      </c>
      <c r="C8" s="82" t="s">
        <v>7</v>
      </c>
      <c r="D8" s="81" t="s">
        <v>8</v>
      </c>
      <c r="E8" s="83" t="s">
        <v>55</v>
      </c>
      <c r="F8" s="81" t="s">
        <v>56</v>
      </c>
      <c r="G8" s="81" t="s">
        <v>57</v>
      </c>
      <c r="H8" s="81" t="s">
        <v>58</v>
      </c>
      <c r="I8" s="81" t="s">
        <v>59</v>
      </c>
      <c r="J8" s="81" t="s">
        <v>60</v>
      </c>
      <c r="K8" s="81" t="s">
        <v>61</v>
      </c>
      <c r="L8" s="81" t="s">
        <v>14</v>
      </c>
      <c r="M8" s="81" t="s">
        <v>15</v>
      </c>
      <c r="N8" s="84" t="s">
        <v>62</v>
      </c>
      <c r="O8" s="83" t="s">
        <v>63</v>
      </c>
      <c r="P8" s="81" t="s">
        <v>64</v>
      </c>
      <c r="Q8" s="83" t="s">
        <v>18</v>
      </c>
      <c r="R8" s="84" t="s">
        <v>19</v>
      </c>
      <c r="S8" s="85" t="s">
        <v>20</v>
      </c>
      <c r="T8" s="81" t="s">
        <v>21</v>
      </c>
    </row>
    <row r="9" ht="51.0" customHeight="1">
      <c r="A9" s="24"/>
      <c r="B9" s="24"/>
      <c r="C9" s="24"/>
      <c r="D9" s="24"/>
      <c r="E9" s="24"/>
      <c r="F9" s="8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ht="27.0" customHeight="1">
      <c r="A10" s="87">
        <v>1.0</v>
      </c>
      <c r="B10" s="88">
        <v>46266.0</v>
      </c>
      <c r="C10" s="89" t="s">
        <v>27</v>
      </c>
      <c r="D10" s="89" t="s">
        <v>65</v>
      </c>
      <c r="E10" s="89" t="s">
        <v>27</v>
      </c>
      <c r="F10" s="90"/>
      <c r="G10" s="90"/>
      <c r="H10" s="90"/>
      <c r="I10" s="89"/>
      <c r="J10" s="90">
        <v>0.0</v>
      </c>
      <c r="K10" s="90" t="s">
        <v>66</v>
      </c>
      <c r="L10" s="87" t="s">
        <v>28</v>
      </c>
      <c r="M10" s="89" t="s">
        <v>27</v>
      </c>
      <c r="N10" s="91" t="str">
        <f t="shared" ref="N10:N11" si="1">+Q10+S10</f>
        <v>142.68</v>
      </c>
      <c r="O10" s="91">
        <v>0.0</v>
      </c>
      <c r="P10" s="91">
        <v>0.0</v>
      </c>
      <c r="Q10" s="92">
        <v>123.0</v>
      </c>
      <c r="R10" s="93">
        <v>0.16</v>
      </c>
      <c r="S10" s="92" t="str">
        <f t="shared" ref="S10:S11" si="2">Q10*R10</f>
        <v>19.68</v>
      </c>
      <c r="T10" s="94">
        <v>0.0</v>
      </c>
    </row>
    <row r="11" ht="27.0" customHeight="1">
      <c r="A11" s="87">
        <v>2.0</v>
      </c>
      <c r="B11" s="88">
        <v>46267.0</v>
      </c>
      <c r="C11" s="89" t="s">
        <v>27</v>
      </c>
      <c r="D11" s="89" t="s">
        <v>65</v>
      </c>
      <c r="E11" s="89" t="s">
        <v>27</v>
      </c>
      <c r="F11" s="90"/>
      <c r="G11" s="90"/>
      <c r="H11" s="90"/>
      <c r="I11" s="89"/>
      <c r="J11" s="90">
        <v>0.0</v>
      </c>
      <c r="K11" s="90" t="s">
        <v>66</v>
      </c>
      <c r="L11" s="87" t="s">
        <v>28</v>
      </c>
      <c r="M11" s="89" t="s">
        <v>27</v>
      </c>
      <c r="N11" s="91" t="str">
        <f t="shared" si="1"/>
        <v>372.36</v>
      </c>
      <c r="O11" s="91">
        <v>0.0</v>
      </c>
      <c r="P11" s="91">
        <v>0.0</v>
      </c>
      <c r="Q11" s="92">
        <v>321.0</v>
      </c>
      <c r="R11" s="93">
        <v>0.16</v>
      </c>
      <c r="S11" s="92" t="str">
        <f t="shared" si="2"/>
        <v>51.36</v>
      </c>
      <c r="T11" s="94">
        <v>0.0</v>
      </c>
    </row>
    <row r="12" ht="27.0" customHeight="1">
      <c r="A12" s="95"/>
      <c r="B12" s="96" t="s">
        <v>67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/>
      <c r="N12" s="97" t="str">
        <f t="shared" ref="N12:Q12" si="3">SUM(N10:N11)</f>
        <v>515.04</v>
      </c>
      <c r="O12" s="97" t="str">
        <f t="shared" si="3"/>
        <v>0.00</v>
      </c>
      <c r="P12" s="97" t="str">
        <f t="shared" si="3"/>
        <v>0.00</v>
      </c>
      <c r="Q12" s="97" t="str">
        <f t="shared" si="3"/>
        <v>444.00</v>
      </c>
      <c r="R12" s="98"/>
      <c r="S12" s="97" t="str">
        <f t="shared" ref="S12:T12" si="4">SUM(S10:S11)</f>
        <v>71.04</v>
      </c>
      <c r="T12" s="97" t="str">
        <f t="shared" si="4"/>
        <v>0.00</v>
      </c>
    </row>
    <row r="13" ht="12.75" customHeight="1">
      <c r="A13" s="57"/>
      <c r="B13" s="58"/>
      <c r="C13" s="58"/>
      <c r="D13" s="59"/>
      <c r="E13" s="60"/>
      <c r="F13" s="60"/>
      <c r="G13" s="61"/>
      <c r="H13" s="61"/>
      <c r="I13" s="61"/>
      <c r="J13" s="61"/>
      <c r="K13" s="61"/>
      <c r="L13" s="62"/>
      <c r="M13" s="63"/>
      <c r="N13" s="63"/>
      <c r="O13" s="63"/>
      <c r="P13" s="63"/>
      <c r="Q13" s="63"/>
      <c r="R13" s="63" t="s">
        <v>68</v>
      </c>
      <c r="S13" s="64"/>
      <c r="T13" s="57"/>
    </row>
    <row r="14" ht="12.75" customHeight="1">
      <c r="A14" s="57"/>
      <c r="B14" s="58"/>
      <c r="C14" s="58"/>
      <c r="D14" s="59"/>
      <c r="E14" s="60"/>
      <c r="F14" s="60"/>
      <c r="G14" s="61"/>
      <c r="H14" s="61"/>
      <c r="I14" s="61"/>
      <c r="J14" s="61"/>
      <c r="K14" s="61"/>
      <c r="L14" s="62"/>
      <c r="M14" s="63"/>
      <c r="N14" s="63"/>
      <c r="O14" s="63"/>
      <c r="P14" s="63"/>
      <c r="Q14" s="63"/>
      <c r="R14" s="63"/>
      <c r="S14" s="64"/>
      <c r="T14" s="57"/>
    </row>
    <row r="15" ht="29.25" customHeight="1">
      <c r="A15" s="99"/>
      <c r="B15" s="100"/>
      <c r="C15" s="101" t="s">
        <v>69</v>
      </c>
      <c r="D15" s="37"/>
      <c r="E15" s="37"/>
      <c r="F15" s="37"/>
      <c r="G15" s="38"/>
      <c r="H15" s="102" t="s">
        <v>43</v>
      </c>
      <c r="I15" s="103" t="s">
        <v>44</v>
      </c>
      <c r="J15" s="104" t="s">
        <v>45</v>
      </c>
      <c r="K15" s="105"/>
      <c r="L15" s="70"/>
      <c r="M15" s="70"/>
      <c r="N15" s="70"/>
      <c r="O15" s="70"/>
      <c r="P15" s="99"/>
      <c r="Q15" s="106"/>
      <c r="R15" s="99"/>
      <c r="S15" s="99"/>
      <c r="T15" s="99"/>
    </row>
    <row r="16" ht="27.0" customHeight="1">
      <c r="A16" s="57"/>
      <c r="B16" s="57"/>
      <c r="C16" s="107" t="s">
        <v>70</v>
      </c>
      <c r="D16" s="37"/>
      <c r="E16" s="37"/>
      <c r="F16" s="37"/>
      <c r="G16" s="38"/>
      <c r="H16" s="108">
        <v>0.0</v>
      </c>
      <c r="I16" s="109">
        <v>0.0</v>
      </c>
      <c r="J16" s="110">
        <v>0.0</v>
      </c>
      <c r="K16" s="111"/>
      <c r="L16" s="62"/>
      <c r="M16" s="62"/>
      <c r="N16" s="112"/>
      <c r="O16" s="65"/>
      <c r="P16" s="57"/>
      <c r="Q16" s="113"/>
      <c r="R16" s="57"/>
      <c r="S16" s="113"/>
      <c r="T16" s="57"/>
    </row>
    <row r="17" ht="27.0" customHeight="1">
      <c r="A17" s="57"/>
      <c r="B17" s="57"/>
      <c r="C17" s="107" t="s">
        <v>71</v>
      </c>
      <c r="D17" s="37"/>
      <c r="E17" s="37"/>
      <c r="F17" s="37"/>
      <c r="G17" s="38"/>
      <c r="H17" s="108">
        <v>0.0</v>
      </c>
      <c r="I17" s="109">
        <v>0.0</v>
      </c>
      <c r="J17" s="110">
        <v>0.0</v>
      </c>
      <c r="K17" s="114"/>
      <c r="L17" s="62"/>
      <c r="M17" s="62"/>
      <c r="N17" s="62"/>
      <c r="O17" s="62"/>
      <c r="P17" s="57"/>
      <c r="Q17" s="57"/>
      <c r="R17" s="57"/>
      <c r="S17" s="57"/>
      <c r="T17" s="57"/>
    </row>
    <row r="18" ht="27.0" customHeight="1">
      <c r="A18" s="57"/>
      <c r="B18" s="57"/>
      <c r="C18" s="107" t="s">
        <v>72</v>
      </c>
      <c r="D18" s="37"/>
      <c r="E18" s="37"/>
      <c r="F18" s="37"/>
      <c r="G18" s="38"/>
      <c r="H18" s="108">
        <v>0.0</v>
      </c>
      <c r="I18" s="109">
        <v>0.0</v>
      </c>
      <c r="J18" s="110">
        <v>0.0</v>
      </c>
      <c r="K18" s="111"/>
      <c r="L18" s="65"/>
      <c r="M18" s="62"/>
      <c r="N18" s="62"/>
      <c r="O18" s="62"/>
      <c r="P18" s="57"/>
      <c r="Q18" s="57"/>
      <c r="R18" s="57"/>
      <c r="S18" s="57"/>
      <c r="T18" s="57"/>
    </row>
    <row r="19" ht="27.0" customHeight="1">
      <c r="A19" s="57"/>
      <c r="B19" s="57"/>
      <c r="C19" s="107" t="s">
        <v>73</v>
      </c>
      <c r="D19" s="37"/>
      <c r="E19" s="37"/>
      <c r="F19" s="37"/>
      <c r="G19" s="38"/>
      <c r="H19" s="108" t="str">
        <f>+Q12</f>
        <v>444.00</v>
      </c>
      <c r="I19" s="109">
        <v>16.0</v>
      </c>
      <c r="J19" s="110" t="str">
        <f>+H19*I19%</f>
        <v>71.04</v>
      </c>
      <c r="K19" s="111"/>
      <c r="L19" s="65"/>
      <c r="M19" s="62"/>
      <c r="N19" s="62"/>
      <c r="O19" s="62"/>
      <c r="P19" s="57"/>
      <c r="Q19" s="57"/>
      <c r="R19" s="57"/>
      <c r="S19" s="57"/>
      <c r="T19" s="57"/>
    </row>
    <row r="20" ht="27.0" customHeight="1">
      <c r="A20" s="57"/>
      <c r="B20" s="57"/>
      <c r="C20" s="115" t="s">
        <v>74</v>
      </c>
      <c r="D20" s="37"/>
      <c r="E20" s="37"/>
      <c r="F20" s="37"/>
      <c r="G20" s="38"/>
      <c r="H20" s="108">
        <v>0.0</v>
      </c>
      <c r="I20" s="109">
        <v>0.0</v>
      </c>
      <c r="J20" s="110">
        <v>0.0</v>
      </c>
      <c r="K20" s="111"/>
      <c r="L20" s="62"/>
      <c r="M20" s="62"/>
      <c r="N20" s="62"/>
      <c r="O20" s="62"/>
      <c r="P20" s="57"/>
      <c r="Q20" s="57"/>
      <c r="R20" s="57"/>
      <c r="S20" s="57"/>
      <c r="T20" s="57"/>
    </row>
    <row r="21" ht="27.0" customHeight="1">
      <c r="A21" s="57"/>
      <c r="B21" s="57"/>
      <c r="C21" s="107" t="s">
        <v>75</v>
      </c>
      <c r="D21" s="37"/>
      <c r="E21" s="37"/>
      <c r="F21" s="37"/>
      <c r="G21" s="38"/>
      <c r="H21" s="108">
        <v>0.0</v>
      </c>
      <c r="I21" s="109">
        <v>0.0</v>
      </c>
      <c r="J21" s="110">
        <v>0.0</v>
      </c>
      <c r="K21" s="111"/>
      <c r="L21" s="62"/>
      <c r="M21" s="62"/>
      <c r="N21" s="62"/>
      <c r="O21" s="62"/>
      <c r="P21" s="57"/>
      <c r="Q21" s="57"/>
      <c r="R21" s="57"/>
      <c r="S21" s="57"/>
      <c r="T21" s="57"/>
    </row>
    <row r="22" ht="27.0" customHeight="1">
      <c r="A22" s="57"/>
      <c r="B22" s="57"/>
      <c r="C22" s="107" t="s">
        <v>76</v>
      </c>
      <c r="D22" s="37"/>
      <c r="E22" s="37"/>
      <c r="F22" s="37"/>
      <c r="G22" s="38"/>
      <c r="H22" s="108">
        <v>0.0</v>
      </c>
      <c r="I22" s="109">
        <v>0.0</v>
      </c>
      <c r="J22" s="110">
        <v>0.0</v>
      </c>
      <c r="K22" s="111"/>
      <c r="L22" s="62"/>
      <c r="M22" s="62"/>
      <c r="N22" s="62"/>
      <c r="O22" s="62"/>
      <c r="P22" s="57"/>
      <c r="Q22" s="57"/>
      <c r="R22" s="57"/>
      <c r="S22" s="57"/>
      <c r="T22" s="57"/>
    </row>
    <row r="23" ht="27.0" customHeight="1">
      <c r="A23" s="57"/>
      <c r="B23" s="57"/>
      <c r="C23" s="116" t="s">
        <v>67</v>
      </c>
      <c r="D23" s="37"/>
      <c r="E23" s="37"/>
      <c r="F23" s="37"/>
      <c r="G23" s="38"/>
      <c r="H23" s="117" t="str">
        <f>+H19</f>
        <v>444.00</v>
      </c>
      <c r="I23" s="117"/>
      <c r="J23" s="117" t="str">
        <f>SUM(J16:J22)</f>
        <v>71.04</v>
      </c>
      <c r="K23" s="118"/>
      <c r="L23" s="65"/>
      <c r="M23" s="65"/>
      <c r="N23" s="65"/>
      <c r="O23" s="62"/>
      <c r="P23" s="57"/>
      <c r="Q23" s="57"/>
      <c r="R23" s="57"/>
      <c r="S23" s="57"/>
      <c r="T23" s="57"/>
    </row>
    <row r="24" ht="12.75" customHeight="1">
      <c r="A24" s="57"/>
      <c r="B24" s="57"/>
      <c r="C24" s="57"/>
      <c r="D24" s="57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57"/>
      <c r="Q24" s="57"/>
      <c r="R24" s="57"/>
      <c r="S24" s="57"/>
      <c r="T24" s="57"/>
    </row>
    <row r="25" ht="12.75" customHeight="1">
      <c r="A25" s="57"/>
      <c r="B25" s="57"/>
      <c r="C25" s="57"/>
      <c r="D25" s="57"/>
      <c r="E25" s="62"/>
      <c r="F25" s="62"/>
      <c r="G25" s="62"/>
      <c r="H25" s="62"/>
      <c r="I25" s="62"/>
      <c r="J25" s="65"/>
      <c r="K25" s="62"/>
      <c r="L25" s="62"/>
      <c r="M25" s="62"/>
      <c r="N25" s="62"/>
      <c r="O25" s="62"/>
      <c r="P25" s="57"/>
      <c r="Q25" s="57"/>
      <c r="R25" s="57"/>
      <c r="S25" s="57"/>
      <c r="T25" s="57"/>
    </row>
    <row r="26" ht="18.75" customHeight="1">
      <c r="A26" s="57"/>
      <c r="B26" s="57"/>
      <c r="C26" s="57"/>
      <c r="D26" s="57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57"/>
      <c r="R26" s="57"/>
      <c r="S26" s="57"/>
      <c r="T26" s="57"/>
    </row>
    <row r="27" ht="12.75" customHeight="1">
      <c r="A27" s="57"/>
      <c r="B27" s="57"/>
      <c r="C27" s="57"/>
      <c r="D27" s="57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57"/>
    </row>
    <row r="28" ht="12.75" customHeight="1">
      <c r="A28" s="57"/>
      <c r="B28" s="57"/>
      <c r="C28" s="57"/>
      <c r="D28" s="57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57"/>
    </row>
    <row r="29" ht="12.75" customHeight="1">
      <c r="A29" s="57"/>
      <c r="B29" s="57"/>
      <c r="C29" s="57"/>
      <c r="D29" s="57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57"/>
    </row>
    <row r="30" ht="12.75" customHeight="1">
      <c r="A30" s="57"/>
      <c r="B30" s="57"/>
      <c r="C30" s="57"/>
      <c r="D30" s="57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57"/>
    </row>
    <row r="31" ht="12.75" customHeight="1">
      <c r="A31" s="57"/>
      <c r="B31" s="57"/>
      <c r="C31" s="57"/>
      <c r="D31" s="57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57"/>
    </row>
    <row r="32" ht="12.75" customHeight="1">
      <c r="A32" s="57"/>
      <c r="B32" s="57"/>
      <c r="C32" s="57"/>
      <c r="D32" s="57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57"/>
    </row>
    <row r="33" ht="12.75" customHeight="1">
      <c r="A33" s="57"/>
      <c r="B33" s="57"/>
      <c r="C33" s="57"/>
      <c r="D33" s="57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57"/>
    </row>
    <row r="34" ht="12.75" customHeight="1">
      <c r="A34" s="57"/>
      <c r="B34" s="57"/>
      <c r="C34" s="57"/>
      <c r="D34" s="57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57"/>
    </row>
    <row r="35" ht="12.75" customHeight="1">
      <c r="A35" s="57"/>
      <c r="B35" s="57"/>
      <c r="C35" s="57"/>
      <c r="D35" s="57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57"/>
    </row>
    <row r="36" ht="12.75" customHeight="1">
      <c r="A36" s="57"/>
      <c r="B36" s="57"/>
      <c r="C36" s="57"/>
      <c r="D36" s="57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57"/>
    </row>
    <row r="37" ht="12.75" customHeight="1">
      <c r="A37" s="57"/>
      <c r="B37" s="57"/>
      <c r="C37" s="57"/>
      <c r="D37" s="57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57"/>
    </row>
    <row r="38" ht="12.75" customHeight="1">
      <c r="A38" s="57"/>
      <c r="B38" s="57"/>
      <c r="C38" s="57"/>
      <c r="D38" s="57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57"/>
    </row>
    <row r="39" ht="12.75" customHeight="1">
      <c r="A39" s="57"/>
      <c r="B39" s="57"/>
      <c r="C39" s="57"/>
      <c r="D39" s="57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57"/>
    </row>
    <row r="40" ht="12.75" customHeight="1">
      <c r="A40" s="57"/>
      <c r="B40" s="57"/>
      <c r="C40" s="57"/>
      <c r="D40" s="57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57"/>
    </row>
    <row r="41" ht="12.75" customHeight="1">
      <c r="A41" s="57"/>
      <c r="B41" s="57"/>
      <c r="C41" s="57"/>
      <c r="D41" s="57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57"/>
    </row>
    <row r="42" ht="12.75" customHeight="1">
      <c r="A42" s="57"/>
      <c r="B42" s="57"/>
      <c r="C42" s="57"/>
      <c r="D42" s="57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57"/>
    </row>
    <row r="43" ht="12.75" customHeight="1">
      <c r="A43" s="57"/>
      <c r="B43" s="57"/>
      <c r="C43" s="57"/>
      <c r="D43" s="57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57"/>
    </row>
    <row r="44" ht="12.75" customHeight="1">
      <c r="A44" s="57"/>
      <c r="B44" s="57"/>
      <c r="C44" s="57"/>
      <c r="D44" s="57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57"/>
    </row>
    <row r="45" ht="12.75" customHeight="1">
      <c r="A45" s="57"/>
      <c r="B45" s="57"/>
      <c r="C45" s="57"/>
      <c r="D45" s="57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57"/>
    </row>
    <row r="46" ht="12.75" customHeight="1">
      <c r="A46" s="57"/>
      <c r="B46" s="57"/>
      <c r="C46" s="57"/>
      <c r="D46" s="57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57"/>
    </row>
    <row r="47" ht="12.75" customHeight="1">
      <c r="A47" s="57"/>
      <c r="B47" s="57"/>
      <c r="C47" s="57"/>
      <c r="D47" s="57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57"/>
    </row>
    <row r="48" ht="12.75" customHeight="1">
      <c r="A48" s="57"/>
      <c r="B48" s="57"/>
      <c r="C48" s="57"/>
      <c r="D48" s="57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57"/>
    </row>
    <row r="49" ht="12.75" customHeight="1">
      <c r="A49" s="57"/>
      <c r="B49" s="57"/>
      <c r="C49" s="57"/>
      <c r="D49" s="57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57"/>
    </row>
    <row r="50" ht="12.75" customHeight="1">
      <c r="A50" s="57"/>
      <c r="B50" s="57"/>
      <c r="C50" s="57"/>
      <c r="D50" s="57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57"/>
    </row>
    <row r="51" ht="12.75" customHeight="1">
      <c r="A51" s="57"/>
      <c r="B51" s="57"/>
      <c r="C51" s="57"/>
      <c r="D51" s="5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57"/>
    </row>
    <row r="52" ht="12.75" customHeight="1">
      <c r="A52" s="57"/>
      <c r="B52" s="57"/>
      <c r="C52" s="57"/>
      <c r="D52" s="57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57"/>
    </row>
    <row r="53" ht="12.75" customHeight="1">
      <c r="A53" s="57"/>
      <c r="B53" s="57"/>
      <c r="C53" s="57"/>
      <c r="D53" s="57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57"/>
    </row>
    <row r="54" ht="12.75" customHeight="1">
      <c r="A54" s="57"/>
      <c r="B54" s="57"/>
      <c r="C54" s="57"/>
      <c r="D54" s="57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57"/>
    </row>
    <row r="55" ht="12.75" customHeight="1">
      <c r="A55" s="57"/>
      <c r="B55" s="57"/>
      <c r="C55" s="57"/>
      <c r="D55" s="57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57"/>
    </row>
    <row r="56" ht="12.75" customHeight="1">
      <c r="A56" s="57"/>
      <c r="B56" s="57"/>
      <c r="C56" s="57"/>
      <c r="D56" s="57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57"/>
    </row>
    <row r="57" ht="12.75" customHeight="1">
      <c r="A57" s="57"/>
      <c r="B57" s="57"/>
      <c r="C57" s="57"/>
      <c r="D57" s="57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57"/>
    </row>
    <row r="58" ht="12.75" customHeight="1">
      <c r="A58" s="57"/>
      <c r="B58" s="57"/>
      <c r="C58" s="57"/>
      <c r="D58" s="57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57"/>
    </row>
    <row r="59" ht="12.75" customHeight="1">
      <c r="A59" s="57"/>
      <c r="B59" s="57"/>
      <c r="C59" s="57"/>
      <c r="D59" s="57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57"/>
    </row>
    <row r="60" ht="12.75" customHeight="1">
      <c r="A60" s="57"/>
      <c r="B60" s="57"/>
      <c r="C60" s="57"/>
      <c r="D60" s="57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57"/>
    </row>
    <row r="61" ht="12.75" customHeight="1">
      <c r="A61" s="57"/>
      <c r="B61" s="57"/>
      <c r="C61" s="57"/>
      <c r="D61" s="57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57"/>
    </row>
    <row r="62" ht="12.75" customHeight="1">
      <c r="A62" s="57"/>
      <c r="B62" s="57"/>
      <c r="C62" s="57"/>
      <c r="D62" s="57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57"/>
    </row>
    <row r="63" ht="12.75" customHeight="1">
      <c r="A63" s="57"/>
      <c r="B63" s="57"/>
      <c r="C63" s="57"/>
      <c r="D63" s="57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57"/>
    </row>
    <row r="64" ht="12.75" customHeight="1">
      <c r="A64" s="57"/>
      <c r="B64" s="57"/>
      <c r="C64" s="57"/>
      <c r="D64" s="57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57"/>
    </row>
    <row r="65" ht="12.75" customHeight="1">
      <c r="A65" s="57"/>
      <c r="B65" s="57"/>
      <c r="C65" s="57"/>
      <c r="D65" s="57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57"/>
    </row>
    <row r="66" ht="12.75" customHeight="1">
      <c r="A66" s="57"/>
      <c r="B66" s="57"/>
      <c r="C66" s="57"/>
      <c r="D66" s="57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57"/>
    </row>
    <row r="67" ht="12.75" customHeight="1">
      <c r="A67" s="57"/>
      <c r="B67" s="57"/>
      <c r="C67" s="57"/>
      <c r="D67" s="57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57"/>
    </row>
    <row r="68" ht="12.75" customHeight="1">
      <c r="A68" s="57"/>
      <c r="B68" s="57"/>
      <c r="C68" s="57"/>
      <c r="D68" s="57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57"/>
    </row>
    <row r="69" ht="12.75" customHeight="1">
      <c r="A69" s="57"/>
      <c r="B69" s="57"/>
      <c r="C69" s="57"/>
      <c r="D69" s="57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57"/>
    </row>
    <row r="70" ht="12.75" customHeight="1">
      <c r="A70" s="57"/>
      <c r="B70" s="57"/>
      <c r="C70" s="57"/>
      <c r="D70" s="57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57"/>
    </row>
    <row r="71" ht="12.75" customHeight="1">
      <c r="A71" s="57"/>
      <c r="B71" s="57"/>
      <c r="C71" s="57"/>
      <c r="D71" s="57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57"/>
    </row>
    <row r="72" ht="12.75" customHeight="1">
      <c r="A72" s="57"/>
      <c r="B72" s="57"/>
      <c r="C72" s="57"/>
      <c r="D72" s="57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57"/>
    </row>
    <row r="73" ht="12.75" customHeight="1">
      <c r="A73" s="57"/>
      <c r="B73" s="57"/>
      <c r="C73" s="57"/>
      <c r="D73" s="57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57"/>
    </row>
    <row r="74" ht="12.75" customHeight="1">
      <c r="A74" s="57"/>
      <c r="B74" s="57"/>
      <c r="C74" s="57"/>
      <c r="D74" s="57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57"/>
    </row>
    <row r="75" ht="12.75" customHeight="1">
      <c r="A75" s="57"/>
      <c r="B75" s="57"/>
      <c r="C75" s="57"/>
      <c r="D75" s="57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57"/>
    </row>
    <row r="76" ht="12.75" customHeight="1">
      <c r="A76" s="57"/>
      <c r="B76" s="57"/>
      <c r="C76" s="57"/>
      <c r="D76" s="57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57"/>
    </row>
    <row r="77" ht="12.75" customHeight="1">
      <c r="A77" s="57"/>
      <c r="B77" s="57"/>
      <c r="C77" s="57"/>
      <c r="D77" s="57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57"/>
    </row>
    <row r="78" ht="12.75" customHeight="1">
      <c r="A78" s="57"/>
      <c r="B78" s="57"/>
      <c r="C78" s="57"/>
      <c r="D78" s="57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57"/>
    </row>
    <row r="79" ht="12.75" customHeight="1">
      <c r="A79" s="57"/>
      <c r="B79" s="57"/>
      <c r="C79" s="57"/>
      <c r="D79" s="57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57"/>
    </row>
    <row r="80" ht="12.75" customHeight="1">
      <c r="A80" s="57"/>
      <c r="B80" s="57"/>
      <c r="C80" s="57"/>
      <c r="D80" s="57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57"/>
    </row>
    <row r="81" ht="12.75" customHeight="1">
      <c r="A81" s="57"/>
      <c r="B81" s="57"/>
      <c r="C81" s="57"/>
      <c r="D81" s="57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57"/>
    </row>
    <row r="82" ht="12.75" customHeight="1">
      <c r="A82" s="57"/>
      <c r="B82" s="57"/>
      <c r="C82" s="57"/>
      <c r="D82" s="57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57"/>
    </row>
    <row r="83" ht="12.75" customHeight="1">
      <c r="A83" s="57"/>
      <c r="B83" s="57"/>
      <c r="C83" s="57"/>
      <c r="D83" s="57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57"/>
    </row>
    <row r="84" ht="12.75" customHeight="1">
      <c r="A84" s="57"/>
      <c r="B84" s="57"/>
      <c r="C84" s="57"/>
      <c r="D84" s="57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57"/>
    </row>
    <row r="85" ht="12.75" customHeight="1">
      <c r="A85" s="57"/>
      <c r="B85" s="57"/>
      <c r="C85" s="57"/>
      <c r="D85" s="57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57"/>
    </row>
    <row r="86" ht="12.75" customHeight="1">
      <c r="A86" s="57"/>
      <c r="B86" s="57"/>
      <c r="C86" s="57"/>
      <c r="D86" s="57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57"/>
    </row>
    <row r="87" ht="12.75" customHeight="1">
      <c r="A87" s="57"/>
      <c r="B87" s="57"/>
      <c r="C87" s="57"/>
      <c r="D87" s="57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57"/>
    </row>
    <row r="88" ht="12.75" customHeight="1">
      <c r="A88" s="57"/>
      <c r="B88" s="57"/>
      <c r="C88" s="57"/>
      <c r="D88" s="57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57"/>
    </row>
    <row r="89" ht="12.75" customHeight="1">
      <c r="A89" s="57"/>
      <c r="B89" s="57"/>
      <c r="C89" s="57"/>
      <c r="D89" s="57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57"/>
    </row>
    <row r="90" ht="12.75" customHeight="1">
      <c r="A90" s="57"/>
      <c r="B90" s="57"/>
      <c r="C90" s="57"/>
      <c r="D90" s="57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57"/>
    </row>
    <row r="91" ht="12.75" customHeight="1">
      <c r="A91" s="57"/>
      <c r="B91" s="57"/>
      <c r="C91" s="57"/>
      <c r="D91" s="57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57"/>
    </row>
    <row r="92" ht="12.75" customHeight="1">
      <c r="A92" s="57"/>
      <c r="B92" s="57"/>
      <c r="C92" s="57"/>
      <c r="D92" s="57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57"/>
    </row>
    <row r="93" ht="12.75" customHeight="1">
      <c r="A93" s="57"/>
      <c r="B93" s="57"/>
      <c r="C93" s="57"/>
      <c r="D93" s="57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57"/>
    </row>
    <row r="94" ht="12.75" customHeight="1">
      <c r="A94" s="57"/>
      <c r="B94" s="57"/>
      <c r="C94" s="57"/>
      <c r="D94" s="57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57"/>
    </row>
    <row r="95" ht="12.75" customHeight="1">
      <c r="A95" s="57"/>
      <c r="B95" s="57"/>
      <c r="C95" s="57"/>
      <c r="D95" s="57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57"/>
    </row>
    <row r="96" ht="12.75" customHeight="1">
      <c r="A96" s="57"/>
      <c r="B96" s="57"/>
      <c r="C96" s="57"/>
      <c r="D96" s="57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57"/>
    </row>
    <row r="97" ht="12.75" customHeight="1">
      <c r="A97" s="57"/>
      <c r="B97" s="57"/>
      <c r="C97" s="57"/>
      <c r="D97" s="57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57"/>
    </row>
    <row r="98" ht="12.75" customHeight="1">
      <c r="A98" s="57"/>
      <c r="B98" s="57"/>
      <c r="C98" s="57"/>
      <c r="D98" s="57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57"/>
    </row>
    <row r="99" ht="12.75" customHeight="1">
      <c r="A99" s="57"/>
      <c r="B99" s="57"/>
      <c r="C99" s="57"/>
      <c r="D99" s="57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57"/>
    </row>
    <row r="100" ht="12.75" customHeight="1">
      <c r="A100" s="57"/>
      <c r="B100" s="57"/>
      <c r="C100" s="57"/>
      <c r="D100" s="57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57"/>
    </row>
  </sheetData>
  <mergeCells count="33">
    <mergeCell ref="C17:G17"/>
    <mergeCell ref="C18:G18"/>
    <mergeCell ref="A8:A9"/>
    <mergeCell ref="B8:B9"/>
    <mergeCell ref="C8:C9"/>
    <mergeCell ref="D8:D9"/>
    <mergeCell ref="E8:E9"/>
    <mergeCell ref="F8:F9"/>
    <mergeCell ref="C19:G19"/>
    <mergeCell ref="C20:G20"/>
    <mergeCell ref="C21:G21"/>
    <mergeCell ref="C22:G22"/>
    <mergeCell ref="C23:G23"/>
    <mergeCell ref="T8:T9"/>
    <mergeCell ref="B12:M12"/>
    <mergeCell ref="G8:G9"/>
    <mergeCell ref="C15:G15"/>
    <mergeCell ref="C16:G16"/>
    <mergeCell ref="N8:N9"/>
    <mergeCell ref="O8:O9"/>
    <mergeCell ref="P8:P9"/>
    <mergeCell ref="Q8:Q9"/>
    <mergeCell ref="P7:R7"/>
    <mergeCell ref="R8:R9"/>
    <mergeCell ref="S8:S9"/>
    <mergeCell ref="H8:H9"/>
    <mergeCell ref="I8:I9"/>
    <mergeCell ref="J8:J9"/>
    <mergeCell ref="K8:K9"/>
    <mergeCell ref="L8:L9"/>
    <mergeCell ref="M8:M9"/>
    <mergeCell ref="L3:O3"/>
    <mergeCell ref="O5:P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43"/>
    <col customWidth="1" min="3" max="3" width="33.43"/>
    <col customWidth="1" min="4" max="4" width="26.71"/>
    <col customWidth="1" min="5" max="5" width="8.43"/>
    <col customWidth="1" min="6" max="6" width="15.86"/>
    <col customWidth="1" min="7" max="7" width="7.57"/>
    <col customWidth="1" min="8" max="8" width="15.14"/>
    <col customWidth="1" min="9" max="255" width="11.43"/>
  </cols>
  <sheetData>
    <row r="1" ht="20.25" customHeight="1">
      <c r="A1" s="119" t="s">
        <v>77</v>
      </c>
      <c r="B1" s="120"/>
      <c r="C1" s="120"/>
      <c r="D1" s="120"/>
      <c r="E1" s="120"/>
      <c r="F1" s="120"/>
      <c r="G1" s="120"/>
      <c r="H1" s="121"/>
      <c r="I1" s="122"/>
      <c r="J1" s="122"/>
      <c r="K1" s="122"/>
      <c r="L1" s="122"/>
      <c r="M1" s="122"/>
      <c r="N1" s="122"/>
      <c r="O1" s="122"/>
      <c r="P1" s="122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</row>
    <row r="2" ht="18.0" customHeight="1">
      <c r="A2" s="124" t="s">
        <v>78</v>
      </c>
      <c r="H2" s="125"/>
      <c r="I2" s="122"/>
      <c r="J2" s="122"/>
      <c r="K2" s="122"/>
      <c r="L2" s="122"/>
      <c r="M2" s="122"/>
      <c r="N2" s="122"/>
      <c r="O2" s="122"/>
      <c r="P2" s="122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</row>
    <row r="3" ht="18.0" customHeight="1">
      <c r="A3" s="124" t="s">
        <v>79</v>
      </c>
      <c r="H3" s="125"/>
      <c r="I3" s="122"/>
      <c r="J3" s="122"/>
      <c r="K3" s="122"/>
      <c r="L3" s="122"/>
      <c r="M3" s="122"/>
      <c r="N3" s="122"/>
      <c r="O3" s="122"/>
      <c r="P3" s="126"/>
      <c r="AF3" s="126" t="s">
        <v>80</v>
      </c>
      <c r="AV3" s="126" t="s">
        <v>80</v>
      </c>
      <c r="BL3" s="126" t="s">
        <v>80</v>
      </c>
      <c r="CB3" s="126" t="s">
        <v>80</v>
      </c>
      <c r="CR3" s="126" t="s">
        <v>80</v>
      </c>
      <c r="DH3" s="126" t="s">
        <v>80</v>
      </c>
      <c r="DX3" s="126" t="s">
        <v>80</v>
      </c>
      <c r="EN3" s="126" t="s">
        <v>80</v>
      </c>
      <c r="FD3" s="126" t="s">
        <v>80</v>
      </c>
      <c r="FT3" s="126" t="s">
        <v>80</v>
      </c>
      <c r="GJ3" s="126" t="s">
        <v>80</v>
      </c>
      <c r="GZ3" s="126" t="s">
        <v>80</v>
      </c>
      <c r="HP3" s="126" t="s">
        <v>80</v>
      </c>
      <c r="IF3" s="126" t="s">
        <v>80</v>
      </c>
    </row>
    <row r="4" ht="18.0" customHeight="1">
      <c r="A4" s="124"/>
      <c r="B4" s="126"/>
      <c r="C4" s="126"/>
      <c r="D4" s="126"/>
      <c r="E4" s="126"/>
      <c r="F4" s="126"/>
      <c r="G4" s="126"/>
      <c r="H4" s="127"/>
      <c r="I4" s="122"/>
      <c r="J4" s="122"/>
      <c r="K4" s="122"/>
      <c r="L4" s="122"/>
      <c r="M4" s="122"/>
      <c r="N4" s="122"/>
      <c r="O4" s="122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  <c r="HV4" s="126"/>
      <c r="HW4" s="126"/>
      <c r="HX4" s="126"/>
      <c r="HY4" s="126"/>
      <c r="HZ4" s="126"/>
      <c r="IA4" s="126"/>
      <c r="IB4" s="126"/>
      <c r="IC4" s="126"/>
      <c r="ID4" s="126"/>
      <c r="IE4" s="126"/>
      <c r="IF4" s="126"/>
      <c r="IG4" s="126"/>
      <c r="IH4" s="126"/>
      <c r="II4" s="126"/>
      <c r="IJ4" s="126"/>
      <c r="IK4" s="126"/>
      <c r="IL4" s="126"/>
      <c r="IM4" s="126"/>
      <c r="IN4" s="126"/>
      <c r="IO4" s="126"/>
      <c r="IP4" s="126"/>
      <c r="IQ4" s="126"/>
      <c r="IR4" s="126"/>
      <c r="IS4" s="126"/>
      <c r="IT4" s="126"/>
      <c r="IU4" s="126"/>
    </row>
    <row r="5" ht="18.0" customHeight="1">
      <c r="A5" s="124" t="s">
        <v>81</v>
      </c>
      <c r="H5" s="125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  <c r="DH5" s="128"/>
      <c r="DI5" s="128"/>
      <c r="DJ5" s="128"/>
      <c r="DK5" s="128"/>
      <c r="DL5" s="128"/>
      <c r="DM5" s="128"/>
      <c r="DN5" s="128"/>
      <c r="DO5" s="128"/>
      <c r="DP5" s="128"/>
      <c r="DQ5" s="128"/>
      <c r="DR5" s="128"/>
      <c r="DS5" s="128"/>
      <c r="DT5" s="128"/>
      <c r="DU5" s="128"/>
      <c r="DV5" s="128"/>
      <c r="DW5" s="128"/>
      <c r="DX5" s="128"/>
      <c r="DY5" s="128"/>
      <c r="DZ5" s="128"/>
      <c r="EA5" s="128"/>
      <c r="EB5" s="128"/>
      <c r="EC5" s="128"/>
      <c r="ED5" s="128"/>
      <c r="EE5" s="128"/>
      <c r="EF5" s="128"/>
      <c r="EG5" s="128"/>
      <c r="EH5" s="128"/>
      <c r="EI5" s="128"/>
      <c r="EJ5" s="128"/>
      <c r="EK5" s="128"/>
      <c r="EL5" s="128"/>
      <c r="EM5" s="128"/>
      <c r="EN5" s="128"/>
      <c r="EO5" s="128"/>
      <c r="EP5" s="128"/>
      <c r="EQ5" s="128"/>
      <c r="ER5" s="128"/>
      <c r="ES5" s="128"/>
      <c r="ET5" s="128"/>
      <c r="EU5" s="128"/>
      <c r="EV5" s="128"/>
      <c r="EW5" s="128"/>
      <c r="EX5" s="128"/>
      <c r="EY5" s="128"/>
      <c r="EZ5" s="128"/>
      <c r="FA5" s="128"/>
      <c r="FB5" s="128"/>
      <c r="FC5" s="128"/>
      <c r="FD5" s="128"/>
      <c r="FE5" s="128"/>
      <c r="FF5" s="128"/>
      <c r="FG5" s="128"/>
      <c r="FH5" s="128"/>
      <c r="FI5" s="128"/>
      <c r="FJ5" s="128"/>
      <c r="FK5" s="128"/>
      <c r="FL5" s="128"/>
      <c r="FM5" s="128"/>
      <c r="FN5" s="128"/>
      <c r="FO5" s="128"/>
      <c r="FP5" s="128"/>
      <c r="FQ5" s="128"/>
      <c r="FR5" s="128"/>
      <c r="FS5" s="128"/>
      <c r="FT5" s="128"/>
      <c r="FU5" s="128"/>
      <c r="FV5" s="128"/>
      <c r="FW5" s="128"/>
      <c r="FX5" s="128"/>
      <c r="FY5" s="128"/>
      <c r="FZ5" s="128"/>
      <c r="GA5" s="128"/>
      <c r="GB5" s="128"/>
      <c r="GC5" s="128"/>
      <c r="GD5" s="128"/>
      <c r="GE5" s="128"/>
      <c r="GF5" s="128"/>
      <c r="GG5" s="128"/>
      <c r="GH5" s="128"/>
      <c r="GI5" s="128"/>
      <c r="GJ5" s="128"/>
      <c r="GK5" s="128"/>
      <c r="GL5" s="128"/>
      <c r="GM5" s="128"/>
      <c r="GN5" s="128"/>
      <c r="GO5" s="128"/>
      <c r="GP5" s="128"/>
      <c r="GQ5" s="128"/>
      <c r="GR5" s="128"/>
      <c r="GS5" s="128"/>
      <c r="GT5" s="128"/>
      <c r="GU5" s="128"/>
      <c r="GV5" s="128"/>
      <c r="GW5" s="128"/>
      <c r="GX5" s="128"/>
      <c r="GY5" s="128"/>
      <c r="GZ5" s="128"/>
      <c r="HA5" s="128"/>
      <c r="HB5" s="128"/>
      <c r="HC5" s="128"/>
      <c r="HD5" s="128"/>
      <c r="HE5" s="128"/>
      <c r="HF5" s="128"/>
      <c r="HG5" s="128"/>
      <c r="HH5" s="128"/>
      <c r="HI5" s="128"/>
      <c r="HJ5" s="128"/>
      <c r="HK5" s="128"/>
      <c r="HL5" s="128"/>
      <c r="HM5" s="128"/>
      <c r="HN5" s="128"/>
      <c r="HO5" s="128"/>
      <c r="HP5" s="128"/>
      <c r="HQ5" s="128"/>
      <c r="HR5" s="128"/>
      <c r="HS5" s="128"/>
      <c r="HT5" s="128"/>
      <c r="HU5" s="128"/>
      <c r="HV5" s="128"/>
      <c r="HW5" s="128"/>
      <c r="HX5" s="128"/>
      <c r="HY5" s="128"/>
      <c r="HZ5" s="128"/>
      <c r="IA5" s="128"/>
      <c r="IB5" s="128"/>
      <c r="IC5" s="128"/>
      <c r="ID5" s="128"/>
      <c r="IE5" s="128"/>
      <c r="IF5" s="128"/>
      <c r="IG5" s="128"/>
      <c r="IH5" s="128"/>
      <c r="II5" s="128"/>
      <c r="IJ5" s="128"/>
      <c r="IK5" s="128"/>
      <c r="IL5" s="128"/>
      <c r="IM5" s="128"/>
      <c r="IN5" s="128"/>
      <c r="IO5" s="128"/>
      <c r="IP5" s="128"/>
      <c r="IQ5" s="128"/>
      <c r="IR5" s="128"/>
      <c r="IS5" s="128"/>
      <c r="IT5" s="128"/>
      <c r="IU5" s="128"/>
    </row>
    <row r="6" ht="12.75" customHeight="1">
      <c r="A6" s="129" t="s">
        <v>82</v>
      </c>
      <c r="B6" s="130"/>
      <c r="C6" s="131" t="s">
        <v>83</v>
      </c>
      <c r="D6" s="132"/>
      <c r="E6" s="130"/>
      <c r="F6" s="133" t="s">
        <v>84</v>
      </c>
      <c r="G6" s="131" t="s">
        <v>85</v>
      </c>
      <c r="H6" s="132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8"/>
      <c r="EC6" s="128"/>
      <c r="ED6" s="128"/>
      <c r="EE6" s="128"/>
      <c r="EF6" s="128"/>
      <c r="EG6" s="128"/>
      <c r="EH6" s="128"/>
      <c r="EI6" s="128"/>
      <c r="EJ6" s="128"/>
      <c r="EK6" s="128"/>
      <c r="EL6" s="128"/>
      <c r="EM6" s="128"/>
      <c r="EN6" s="128"/>
      <c r="EO6" s="128"/>
      <c r="EP6" s="128"/>
      <c r="EQ6" s="128"/>
      <c r="ER6" s="128"/>
      <c r="ES6" s="128"/>
      <c r="ET6" s="128"/>
      <c r="EU6" s="128"/>
      <c r="EV6" s="128"/>
      <c r="EW6" s="128"/>
      <c r="EX6" s="128"/>
      <c r="EY6" s="128"/>
      <c r="EZ6" s="128"/>
      <c r="FA6" s="128"/>
      <c r="FB6" s="128"/>
      <c r="FC6" s="128"/>
      <c r="FD6" s="128"/>
      <c r="FE6" s="128"/>
      <c r="FF6" s="128"/>
      <c r="FG6" s="128"/>
      <c r="FH6" s="128"/>
      <c r="FI6" s="128"/>
      <c r="FJ6" s="128"/>
      <c r="FK6" s="128"/>
      <c r="FL6" s="128"/>
      <c r="FM6" s="128"/>
      <c r="FN6" s="128"/>
      <c r="FO6" s="128"/>
      <c r="FP6" s="128"/>
      <c r="FQ6" s="128"/>
      <c r="FR6" s="128"/>
      <c r="FS6" s="128"/>
      <c r="FT6" s="128"/>
      <c r="FU6" s="128"/>
      <c r="FV6" s="128"/>
      <c r="FW6" s="128"/>
      <c r="FX6" s="128"/>
      <c r="FY6" s="128"/>
      <c r="FZ6" s="128"/>
      <c r="GA6" s="128"/>
      <c r="GB6" s="128"/>
      <c r="GC6" s="128"/>
      <c r="GD6" s="128"/>
      <c r="GE6" s="128"/>
      <c r="GF6" s="128"/>
      <c r="GG6" s="128"/>
      <c r="GH6" s="128"/>
      <c r="GI6" s="128"/>
      <c r="GJ6" s="128"/>
      <c r="GK6" s="128"/>
      <c r="GL6" s="128"/>
      <c r="GM6" s="128"/>
      <c r="GN6" s="128"/>
      <c r="GO6" s="128"/>
      <c r="GP6" s="128"/>
      <c r="GQ6" s="128"/>
      <c r="GR6" s="128"/>
      <c r="GS6" s="128"/>
      <c r="GT6" s="128"/>
      <c r="GU6" s="128"/>
      <c r="GV6" s="128"/>
      <c r="GW6" s="128"/>
      <c r="GX6" s="128"/>
      <c r="GY6" s="128"/>
      <c r="GZ6" s="128"/>
      <c r="HA6" s="128"/>
      <c r="HB6" s="128"/>
      <c r="HC6" s="128"/>
      <c r="HD6" s="128"/>
      <c r="HE6" s="128"/>
      <c r="HF6" s="128"/>
      <c r="HG6" s="128"/>
      <c r="HH6" s="128"/>
      <c r="HI6" s="128"/>
      <c r="HJ6" s="128"/>
      <c r="HK6" s="128"/>
      <c r="HL6" s="128"/>
      <c r="HM6" s="128"/>
      <c r="HN6" s="128"/>
      <c r="HO6" s="128"/>
      <c r="HP6" s="128"/>
      <c r="HQ6" s="128"/>
      <c r="HR6" s="128"/>
      <c r="HS6" s="128"/>
      <c r="HT6" s="128"/>
      <c r="HU6" s="128"/>
      <c r="HV6" s="128"/>
      <c r="HW6" s="128"/>
      <c r="HX6" s="128"/>
      <c r="HY6" s="128"/>
      <c r="HZ6" s="128"/>
      <c r="IA6" s="128"/>
      <c r="IB6" s="128"/>
      <c r="IC6" s="128"/>
      <c r="ID6" s="128"/>
      <c r="IE6" s="128"/>
      <c r="IF6" s="128"/>
      <c r="IG6" s="128"/>
      <c r="IH6" s="128"/>
      <c r="II6" s="128"/>
      <c r="IJ6" s="128"/>
      <c r="IK6" s="128"/>
      <c r="IL6" s="128"/>
      <c r="IM6" s="128"/>
      <c r="IN6" s="128"/>
      <c r="IO6" s="128"/>
      <c r="IP6" s="128"/>
      <c r="IQ6" s="128"/>
      <c r="IR6" s="128"/>
      <c r="IS6" s="128"/>
      <c r="IT6" s="128"/>
      <c r="IU6" s="128"/>
    </row>
    <row r="7" ht="12.75" customHeight="1">
      <c r="A7" s="134" t="s">
        <v>86</v>
      </c>
      <c r="B7" s="37"/>
      <c r="C7" s="37"/>
      <c r="D7" s="37"/>
      <c r="E7" s="38"/>
      <c r="F7" s="135" t="s">
        <v>18</v>
      </c>
      <c r="G7" s="136"/>
      <c r="H7" s="137" t="s">
        <v>87</v>
      </c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28"/>
      <c r="DI7" s="128"/>
      <c r="DJ7" s="128"/>
      <c r="DK7" s="128"/>
      <c r="DL7" s="128"/>
      <c r="DM7" s="128"/>
      <c r="DN7" s="128"/>
      <c r="DO7" s="128"/>
      <c r="DP7" s="128"/>
      <c r="DQ7" s="128"/>
      <c r="DR7" s="128"/>
      <c r="DS7" s="128"/>
      <c r="DT7" s="128"/>
      <c r="DU7" s="128"/>
      <c r="DV7" s="128"/>
      <c r="DW7" s="128"/>
      <c r="DX7" s="128"/>
      <c r="DY7" s="128"/>
      <c r="DZ7" s="128"/>
      <c r="EA7" s="128"/>
      <c r="EB7" s="128"/>
      <c r="EC7" s="128"/>
      <c r="ED7" s="128"/>
      <c r="EE7" s="128"/>
      <c r="EF7" s="128"/>
      <c r="EG7" s="128"/>
      <c r="EH7" s="128"/>
      <c r="EI7" s="128"/>
      <c r="EJ7" s="128"/>
      <c r="EK7" s="128"/>
      <c r="EL7" s="128"/>
      <c r="EM7" s="128"/>
      <c r="EN7" s="128"/>
      <c r="EO7" s="128"/>
      <c r="EP7" s="128"/>
      <c r="EQ7" s="128"/>
      <c r="ER7" s="128"/>
      <c r="ES7" s="128"/>
      <c r="ET7" s="128"/>
      <c r="EU7" s="128"/>
      <c r="EV7" s="128"/>
      <c r="EW7" s="128"/>
      <c r="EX7" s="128"/>
      <c r="EY7" s="128"/>
      <c r="EZ7" s="128"/>
      <c r="FA7" s="128"/>
      <c r="FB7" s="128"/>
      <c r="FC7" s="128"/>
      <c r="FD7" s="128"/>
      <c r="FE7" s="128"/>
      <c r="FF7" s="128"/>
      <c r="FG7" s="128"/>
      <c r="FH7" s="128"/>
      <c r="FI7" s="128"/>
      <c r="FJ7" s="128"/>
      <c r="FK7" s="128"/>
      <c r="FL7" s="128"/>
      <c r="FM7" s="128"/>
      <c r="FN7" s="128"/>
      <c r="FO7" s="128"/>
      <c r="FP7" s="128"/>
      <c r="FQ7" s="128"/>
      <c r="FR7" s="128"/>
      <c r="FS7" s="128"/>
      <c r="FT7" s="128"/>
      <c r="FU7" s="128"/>
      <c r="FV7" s="128"/>
      <c r="FW7" s="128"/>
      <c r="FX7" s="128"/>
      <c r="FY7" s="128"/>
      <c r="FZ7" s="128"/>
      <c r="GA7" s="128"/>
      <c r="GB7" s="128"/>
      <c r="GC7" s="128"/>
      <c r="GD7" s="128"/>
      <c r="GE7" s="128"/>
      <c r="GF7" s="128"/>
      <c r="GG7" s="128"/>
      <c r="GH7" s="128"/>
      <c r="GI7" s="128"/>
      <c r="GJ7" s="128"/>
      <c r="GK7" s="128"/>
      <c r="GL7" s="128"/>
      <c r="GM7" s="128"/>
      <c r="GN7" s="128"/>
      <c r="GO7" s="128"/>
      <c r="GP7" s="128"/>
      <c r="GQ7" s="128"/>
      <c r="GR7" s="128"/>
      <c r="GS7" s="128"/>
      <c r="GT7" s="128"/>
      <c r="GU7" s="128"/>
      <c r="GV7" s="128"/>
      <c r="GW7" s="128"/>
      <c r="GX7" s="128"/>
      <c r="GY7" s="128"/>
      <c r="GZ7" s="128"/>
      <c r="HA7" s="128"/>
      <c r="HB7" s="128"/>
      <c r="HC7" s="128"/>
      <c r="HD7" s="128"/>
      <c r="HE7" s="128"/>
      <c r="HF7" s="128"/>
      <c r="HG7" s="128"/>
      <c r="HH7" s="128"/>
      <c r="HI7" s="128"/>
      <c r="HJ7" s="128"/>
      <c r="HK7" s="128"/>
      <c r="HL7" s="128"/>
      <c r="HM7" s="128"/>
      <c r="HN7" s="128"/>
      <c r="HO7" s="128"/>
      <c r="HP7" s="128"/>
      <c r="HQ7" s="128"/>
      <c r="HR7" s="128"/>
      <c r="HS7" s="128"/>
      <c r="HT7" s="128"/>
      <c r="HU7" s="128"/>
      <c r="HV7" s="128"/>
      <c r="HW7" s="128"/>
      <c r="HX7" s="128"/>
      <c r="HY7" s="128"/>
      <c r="HZ7" s="128"/>
      <c r="IA7" s="128"/>
      <c r="IB7" s="128"/>
      <c r="IC7" s="128"/>
      <c r="ID7" s="128"/>
      <c r="IE7" s="128"/>
      <c r="IF7" s="128"/>
      <c r="IG7" s="128"/>
      <c r="IH7" s="128"/>
      <c r="II7" s="128"/>
      <c r="IJ7" s="128"/>
      <c r="IK7" s="128"/>
      <c r="IL7" s="128"/>
      <c r="IM7" s="128"/>
      <c r="IN7" s="128"/>
      <c r="IO7" s="128"/>
      <c r="IP7" s="128"/>
      <c r="IQ7" s="128"/>
      <c r="IR7" s="128"/>
      <c r="IS7" s="128"/>
      <c r="IT7" s="128"/>
      <c r="IU7" s="128"/>
    </row>
    <row r="8" ht="12.75" customHeight="1">
      <c r="A8" s="138">
        <v>1.0</v>
      </c>
      <c r="B8" s="139" t="s">
        <v>88</v>
      </c>
      <c r="C8" s="37"/>
      <c r="D8" s="38"/>
      <c r="E8" s="140">
        <v>40.0</v>
      </c>
      <c r="F8" s="141">
        <v>0.0</v>
      </c>
      <c r="G8" s="140"/>
      <c r="H8" s="142">
        <v>0.0</v>
      </c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8"/>
      <c r="DF8" s="128"/>
      <c r="DG8" s="128"/>
      <c r="DH8" s="128"/>
      <c r="DI8" s="128"/>
      <c r="DJ8" s="128"/>
      <c r="DK8" s="128"/>
      <c r="DL8" s="128"/>
      <c r="DM8" s="128"/>
      <c r="DN8" s="128"/>
      <c r="DO8" s="128"/>
      <c r="DP8" s="128"/>
      <c r="DQ8" s="128"/>
      <c r="DR8" s="128"/>
      <c r="DS8" s="128"/>
      <c r="DT8" s="128"/>
      <c r="DU8" s="128"/>
      <c r="DV8" s="128"/>
      <c r="DW8" s="128"/>
      <c r="DX8" s="128"/>
      <c r="DY8" s="128"/>
      <c r="DZ8" s="128"/>
      <c r="EA8" s="128"/>
      <c r="EB8" s="128"/>
      <c r="EC8" s="128"/>
      <c r="ED8" s="128"/>
      <c r="EE8" s="128"/>
      <c r="EF8" s="128"/>
      <c r="EG8" s="128"/>
      <c r="EH8" s="128"/>
      <c r="EI8" s="128"/>
      <c r="EJ8" s="128"/>
      <c r="EK8" s="128"/>
      <c r="EL8" s="128"/>
      <c r="EM8" s="128"/>
      <c r="EN8" s="128"/>
      <c r="EO8" s="128"/>
      <c r="EP8" s="128"/>
      <c r="EQ8" s="128"/>
      <c r="ER8" s="128"/>
      <c r="ES8" s="128"/>
      <c r="ET8" s="128"/>
      <c r="EU8" s="128"/>
      <c r="EV8" s="128"/>
      <c r="EW8" s="128"/>
      <c r="EX8" s="128"/>
      <c r="EY8" s="128"/>
      <c r="EZ8" s="128"/>
      <c r="FA8" s="128"/>
      <c r="FB8" s="128"/>
      <c r="FC8" s="128"/>
      <c r="FD8" s="128"/>
      <c r="FE8" s="128"/>
      <c r="FF8" s="128"/>
      <c r="FG8" s="128"/>
      <c r="FH8" s="128"/>
      <c r="FI8" s="128"/>
      <c r="FJ8" s="128"/>
      <c r="FK8" s="128"/>
      <c r="FL8" s="128"/>
      <c r="FM8" s="128"/>
      <c r="FN8" s="128"/>
      <c r="FO8" s="128"/>
      <c r="FP8" s="128"/>
      <c r="FQ8" s="128"/>
      <c r="FR8" s="128"/>
      <c r="FS8" s="128"/>
      <c r="FT8" s="128"/>
      <c r="FU8" s="128"/>
      <c r="FV8" s="128"/>
      <c r="FW8" s="128"/>
      <c r="FX8" s="128"/>
      <c r="FY8" s="128"/>
      <c r="FZ8" s="128"/>
      <c r="GA8" s="128"/>
      <c r="GB8" s="128"/>
      <c r="GC8" s="128"/>
      <c r="GD8" s="128"/>
      <c r="GE8" s="128"/>
      <c r="GF8" s="128"/>
      <c r="GG8" s="128"/>
      <c r="GH8" s="128"/>
      <c r="GI8" s="128"/>
      <c r="GJ8" s="128"/>
      <c r="GK8" s="128"/>
      <c r="GL8" s="128"/>
      <c r="GM8" s="128"/>
      <c r="GN8" s="128"/>
      <c r="GO8" s="128"/>
      <c r="GP8" s="128"/>
      <c r="GQ8" s="128"/>
      <c r="GR8" s="128"/>
      <c r="GS8" s="128"/>
      <c r="GT8" s="128"/>
      <c r="GU8" s="128"/>
      <c r="GV8" s="128"/>
      <c r="GW8" s="128"/>
      <c r="GX8" s="128"/>
      <c r="GY8" s="128"/>
      <c r="GZ8" s="128"/>
      <c r="HA8" s="128"/>
      <c r="HB8" s="128"/>
      <c r="HC8" s="128"/>
      <c r="HD8" s="128"/>
      <c r="HE8" s="128"/>
      <c r="HF8" s="128"/>
      <c r="HG8" s="128"/>
      <c r="HH8" s="128"/>
      <c r="HI8" s="128"/>
      <c r="HJ8" s="128"/>
      <c r="HK8" s="128"/>
      <c r="HL8" s="128"/>
      <c r="HM8" s="128"/>
      <c r="HN8" s="128"/>
      <c r="HO8" s="128"/>
      <c r="HP8" s="128"/>
      <c r="HQ8" s="128"/>
      <c r="HR8" s="128"/>
      <c r="HS8" s="128"/>
      <c r="HT8" s="128"/>
      <c r="HU8" s="128"/>
      <c r="HV8" s="128"/>
      <c r="HW8" s="128"/>
      <c r="HX8" s="128"/>
      <c r="HY8" s="128"/>
      <c r="HZ8" s="128"/>
      <c r="IA8" s="128"/>
      <c r="IB8" s="128"/>
      <c r="IC8" s="128"/>
      <c r="ID8" s="128"/>
      <c r="IE8" s="128"/>
      <c r="IF8" s="128"/>
      <c r="IG8" s="128"/>
      <c r="IH8" s="128"/>
      <c r="II8" s="128"/>
      <c r="IJ8" s="128"/>
      <c r="IK8" s="128"/>
      <c r="IL8" s="128"/>
      <c r="IM8" s="128"/>
      <c r="IN8" s="128"/>
      <c r="IO8" s="128"/>
      <c r="IP8" s="128"/>
      <c r="IQ8" s="128"/>
      <c r="IR8" s="128"/>
      <c r="IS8" s="128"/>
      <c r="IT8" s="128"/>
      <c r="IU8" s="128"/>
    </row>
    <row r="9" ht="12.75" customHeight="1">
      <c r="A9" s="138">
        <v>2.0</v>
      </c>
      <c r="B9" s="139" t="s">
        <v>89</v>
      </c>
      <c r="C9" s="37"/>
      <c r="D9" s="38"/>
      <c r="E9" s="140">
        <v>41.0</v>
      </c>
      <c r="F9" s="141">
        <v>0.0</v>
      </c>
      <c r="G9" s="140"/>
      <c r="H9" s="142">
        <v>0.0</v>
      </c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28"/>
      <c r="CP9" s="128"/>
      <c r="CQ9" s="128"/>
      <c r="CR9" s="128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8"/>
      <c r="DF9" s="128"/>
      <c r="DG9" s="128"/>
      <c r="DH9" s="128"/>
      <c r="DI9" s="128"/>
      <c r="DJ9" s="128"/>
      <c r="DK9" s="128"/>
      <c r="DL9" s="128"/>
      <c r="DM9" s="128"/>
      <c r="DN9" s="128"/>
      <c r="DO9" s="128"/>
      <c r="DP9" s="128"/>
      <c r="DQ9" s="128"/>
      <c r="DR9" s="128"/>
      <c r="DS9" s="128"/>
      <c r="DT9" s="128"/>
      <c r="DU9" s="128"/>
      <c r="DV9" s="128"/>
      <c r="DW9" s="128"/>
      <c r="DX9" s="128"/>
      <c r="DY9" s="128"/>
      <c r="DZ9" s="128"/>
      <c r="EA9" s="128"/>
      <c r="EB9" s="128"/>
      <c r="EC9" s="128"/>
      <c r="ED9" s="128"/>
      <c r="EE9" s="128"/>
      <c r="EF9" s="128"/>
      <c r="EG9" s="128"/>
      <c r="EH9" s="128"/>
      <c r="EI9" s="128"/>
      <c r="EJ9" s="128"/>
      <c r="EK9" s="128"/>
      <c r="EL9" s="128"/>
      <c r="EM9" s="128"/>
      <c r="EN9" s="128"/>
      <c r="EO9" s="128"/>
      <c r="EP9" s="128"/>
      <c r="EQ9" s="128"/>
      <c r="ER9" s="128"/>
      <c r="ES9" s="128"/>
      <c r="ET9" s="128"/>
      <c r="EU9" s="128"/>
      <c r="EV9" s="128"/>
      <c r="EW9" s="128"/>
      <c r="EX9" s="128"/>
      <c r="EY9" s="128"/>
      <c r="EZ9" s="128"/>
      <c r="FA9" s="128"/>
      <c r="FB9" s="128"/>
      <c r="FC9" s="128"/>
      <c r="FD9" s="128"/>
      <c r="FE9" s="128"/>
      <c r="FF9" s="128"/>
      <c r="FG9" s="128"/>
      <c r="FH9" s="128"/>
      <c r="FI9" s="128"/>
      <c r="FJ9" s="128"/>
      <c r="FK9" s="128"/>
      <c r="FL9" s="128"/>
      <c r="FM9" s="128"/>
      <c r="FN9" s="128"/>
      <c r="FO9" s="128"/>
      <c r="FP9" s="128"/>
      <c r="FQ9" s="128"/>
      <c r="FR9" s="128"/>
      <c r="FS9" s="128"/>
      <c r="FT9" s="128"/>
      <c r="FU9" s="128"/>
      <c r="FV9" s="128"/>
      <c r="FW9" s="128"/>
      <c r="FX9" s="128"/>
      <c r="FY9" s="128"/>
      <c r="FZ9" s="128"/>
      <c r="GA9" s="128"/>
      <c r="GB9" s="128"/>
      <c r="GC9" s="128"/>
      <c r="GD9" s="128"/>
      <c r="GE9" s="128"/>
      <c r="GF9" s="128"/>
      <c r="GG9" s="128"/>
      <c r="GH9" s="128"/>
      <c r="GI9" s="128"/>
      <c r="GJ9" s="128"/>
      <c r="GK9" s="128"/>
      <c r="GL9" s="128"/>
      <c r="GM9" s="128"/>
      <c r="GN9" s="128"/>
      <c r="GO9" s="128"/>
      <c r="GP9" s="128"/>
      <c r="GQ9" s="128"/>
      <c r="GR9" s="128"/>
      <c r="GS9" s="128"/>
      <c r="GT9" s="128"/>
      <c r="GU9" s="128"/>
      <c r="GV9" s="128"/>
      <c r="GW9" s="128"/>
      <c r="GX9" s="128"/>
      <c r="GY9" s="128"/>
      <c r="GZ9" s="128"/>
      <c r="HA9" s="128"/>
      <c r="HB9" s="128"/>
      <c r="HC9" s="128"/>
      <c r="HD9" s="128"/>
      <c r="HE9" s="128"/>
      <c r="HF9" s="128"/>
      <c r="HG9" s="128"/>
      <c r="HH9" s="128"/>
      <c r="HI9" s="128"/>
      <c r="HJ9" s="128"/>
      <c r="HK9" s="128"/>
      <c r="HL9" s="128"/>
      <c r="HM9" s="128"/>
      <c r="HN9" s="128"/>
      <c r="HO9" s="128"/>
      <c r="HP9" s="128"/>
      <c r="HQ9" s="128"/>
      <c r="HR9" s="128"/>
      <c r="HS9" s="128"/>
      <c r="HT9" s="128"/>
      <c r="HU9" s="128"/>
      <c r="HV9" s="128"/>
      <c r="HW9" s="128"/>
      <c r="HX9" s="128"/>
      <c r="HY9" s="128"/>
      <c r="HZ9" s="128"/>
      <c r="IA9" s="128"/>
      <c r="IB9" s="128"/>
      <c r="IC9" s="128"/>
      <c r="ID9" s="128"/>
      <c r="IE9" s="128"/>
      <c r="IF9" s="128"/>
      <c r="IG9" s="128"/>
      <c r="IH9" s="128"/>
      <c r="II9" s="128"/>
      <c r="IJ9" s="128"/>
      <c r="IK9" s="128"/>
      <c r="IL9" s="128"/>
      <c r="IM9" s="128"/>
      <c r="IN9" s="128"/>
      <c r="IO9" s="128"/>
      <c r="IP9" s="128"/>
      <c r="IQ9" s="128"/>
      <c r="IR9" s="128"/>
      <c r="IS9" s="128"/>
      <c r="IT9" s="128"/>
      <c r="IU9" s="128"/>
    </row>
    <row r="10" ht="12.75" customHeight="1">
      <c r="A10" s="138">
        <v>3.0</v>
      </c>
      <c r="B10" s="139" t="s">
        <v>90</v>
      </c>
      <c r="C10" s="37"/>
      <c r="D10" s="38"/>
      <c r="E10" s="140">
        <v>42.0</v>
      </c>
      <c r="F10" s="141">
        <v>123.0</v>
      </c>
      <c r="G10" s="140"/>
      <c r="H10" s="142" t="str">
        <f>+F10*16%</f>
        <v>19.68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  <c r="II10" s="128"/>
      <c r="IJ10" s="128"/>
      <c r="IK10" s="128"/>
      <c r="IL10" s="128"/>
      <c r="IM10" s="128"/>
      <c r="IN10" s="128"/>
      <c r="IO10" s="128"/>
      <c r="IP10" s="128"/>
      <c r="IQ10" s="128"/>
      <c r="IR10" s="128"/>
      <c r="IS10" s="128"/>
      <c r="IT10" s="128"/>
      <c r="IU10" s="128"/>
    </row>
    <row r="11" ht="12.75" customHeight="1">
      <c r="A11" s="138">
        <v>4.0</v>
      </c>
      <c r="B11" s="143" t="s">
        <v>91</v>
      </c>
      <c r="C11" s="37"/>
      <c r="D11" s="37"/>
      <c r="E11" s="140">
        <v>442.0</v>
      </c>
      <c r="F11" s="141">
        <v>0.0</v>
      </c>
      <c r="G11" s="140">
        <v>452.0</v>
      </c>
      <c r="H11" s="142">
        <v>0.0</v>
      </c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  <c r="II11" s="128"/>
      <c r="IJ11" s="128"/>
      <c r="IK11" s="128"/>
      <c r="IL11" s="128"/>
      <c r="IM11" s="128"/>
      <c r="IN11" s="128"/>
      <c r="IO11" s="128"/>
      <c r="IP11" s="128"/>
      <c r="IQ11" s="128"/>
      <c r="IR11" s="128"/>
      <c r="IS11" s="128"/>
      <c r="IT11" s="128"/>
      <c r="IU11" s="128"/>
    </row>
    <row r="12" ht="12.75" customHeight="1">
      <c r="A12" s="138">
        <v>5.0</v>
      </c>
      <c r="B12" s="139" t="s">
        <v>92</v>
      </c>
      <c r="C12" s="37"/>
      <c r="D12" s="38"/>
      <c r="E12" s="140">
        <v>443.0</v>
      </c>
      <c r="F12" s="141">
        <v>0.0</v>
      </c>
      <c r="G12" s="140">
        <v>453.0</v>
      </c>
      <c r="H12" s="142">
        <v>0.0</v>
      </c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/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/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/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/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/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8"/>
      <c r="HR12" s="128"/>
      <c r="HS12" s="128"/>
      <c r="HT12" s="128"/>
      <c r="HU12" s="128"/>
      <c r="HV12" s="128"/>
      <c r="HW12" s="128"/>
      <c r="HX12" s="128"/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  <c r="II12" s="128"/>
      <c r="IJ12" s="128"/>
      <c r="IK12" s="128"/>
      <c r="IL12" s="128"/>
      <c r="IM12" s="128"/>
      <c r="IN12" s="128"/>
      <c r="IO12" s="128"/>
      <c r="IP12" s="128"/>
      <c r="IQ12" s="128"/>
      <c r="IR12" s="128"/>
      <c r="IS12" s="128"/>
      <c r="IT12" s="128"/>
      <c r="IU12" s="128"/>
    </row>
    <row r="13" ht="12.75" customHeight="1">
      <c r="A13" s="138">
        <v>6.0</v>
      </c>
      <c r="B13" s="144" t="s">
        <v>93</v>
      </c>
      <c r="C13" s="37"/>
      <c r="D13" s="37"/>
      <c r="E13" s="140">
        <v>46.0</v>
      </c>
      <c r="F13" s="141" t="str">
        <f>SUM(F8:F12)</f>
        <v>123.00</v>
      </c>
      <c r="G13" s="140">
        <v>47.0</v>
      </c>
      <c r="H13" s="145" t="str">
        <f>SUM(H8:H12)</f>
        <v>19.68</v>
      </c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  <c r="CO13" s="128"/>
      <c r="CP13" s="128"/>
      <c r="CQ13" s="128"/>
      <c r="CR13" s="128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8"/>
      <c r="DF13" s="128"/>
      <c r="DG13" s="128"/>
      <c r="DH13" s="128"/>
      <c r="DI13" s="128"/>
      <c r="DJ13" s="128"/>
      <c r="DK13" s="128"/>
      <c r="DL13" s="128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8"/>
      <c r="DZ13" s="128"/>
      <c r="EA13" s="128"/>
      <c r="EB13" s="128"/>
      <c r="EC13" s="128"/>
      <c r="ED13" s="128"/>
      <c r="EE13" s="128"/>
      <c r="EF13" s="128"/>
      <c r="EG13" s="128"/>
      <c r="EH13" s="128"/>
      <c r="EI13" s="128"/>
      <c r="EJ13" s="128"/>
      <c r="EK13" s="128"/>
      <c r="EL13" s="128"/>
      <c r="EM13" s="128"/>
      <c r="EN13" s="128"/>
      <c r="EO13" s="128"/>
      <c r="EP13" s="128"/>
      <c r="EQ13" s="128"/>
      <c r="ER13" s="128"/>
      <c r="ES13" s="128"/>
      <c r="ET13" s="128"/>
      <c r="EU13" s="128"/>
      <c r="EV13" s="128"/>
      <c r="EW13" s="128"/>
      <c r="EX13" s="128"/>
      <c r="EY13" s="128"/>
      <c r="EZ13" s="128"/>
      <c r="FA13" s="128"/>
      <c r="FB13" s="128"/>
      <c r="FC13" s="128"/>
      <c r="FD13" s="128"/>
      <c r="FE13" s="128"/>
      <c r="FF13" s="128"/>
      <c r="FG13" s="128"/>
      <c r="FH13" s="128"/>
      <c r="FI13" s="128"/>
      <c r="FJ13" s="128"/>
      <c r="FK13" s="128"/>
      <c r="FL13" s="128"/>
      <c r="FM13" s="128"/>
      <c r="FN13" s="128"/>
      <c r="FO13" s="128"/>
      <c r="FP13" s="128"/>
      <c r="FQ13" s="128"/>
      <c r="FR13" s="128"/>
      <c r="FS13" s="128"/>
      <c r="FT13" s="128"/>
      <c r="FU13" s="128"/>
      <c r="FV13" s="128"/>
      <c r="FW13" s="128"/>
      <c r="FX13" s="128"/>
      <c r="FY13" s="128"/>
      <c r="FZ13" s="128"/>
      <c r="GA13" s="128"/>
      <c r="GB13" s="128"/>
      <c r="GC13" s="128"/>
      <c r="GD13" s="128"/>
      <c r="GE13" s="128"/>
      <c r="GF13" s="128"/>
      <c r="GG13" s="128"/>
      <c r="GH13" s="128"/>
      <c r="GI13" s="128"/>
      <c r="GJ13" s="128"/>
      <c r="GK13" s="128"/>
      <c r="GL13" s="128"/>
      <c r="GM13" s="128"/>
      <c r="GN13" s="128"/>
      <c r="GO13" s="128"/>
      <c r="GP13" s="128"/>
      <c r="GQ13" s="128"/>
      <c r="GR13" s="128"/>
      <c r="GS13" s="128"/>
      <c r="GT13" s="128"/>
      <c r="GU13" s="128"/>
      <c r="GV13" s="128"/>
      <c r="GW13" s="128"/>
      <c r="GX13" s="128"/>
      <c r="GY13" s="128"/>
      <c r="GZ13" s="128"/>
      <c r="HA13" s="128"/>
      <c r="HB13" s="128"/>
      <c r="HC13" s="128"/>
      <c r="HD13" s="128"/>
      <c r="HE13" s="128"/>
      <c r="HF13" s="128"/>
      <c r="HG13" s="128"/>
      <c r="HH13" s="128"/>
      <c r="HI13" s="128"/>
      <c r="HJ13" s="128"/>
      <c r="HK13" s="128"/>
      <c r="HL13" s="128"/>
      <c r="HM13" s="128"/>
      <c r="HN13" s="128"/>
      <c r="HO13" s="128"/>
      <c r="HP13" s="128"/>
      <c r="HQ13" s="128"/>
      <c r="HR13" s="128"/>
      <c r="HS13" s="128"/>
      <c r="HT13" s="128"/>
      <c r="HU13" s="128"/>
      <c r="HV13" s="128"/>
      <c r="HW13" s="128"/>
      <c r="HX13" s="128"/>
      <c r="HY13" s="128"/>
      <c r="HZ13" s="128"/>
      <c r="IA13" s="128"/>
      <c r="IB13" s="128"/>
      <c r="IC13" s="128"/>
      <c r="ID13" s="128"/>
      <c r="IE13" s="128"/>
      <c r="IF13" s="128"/>
      <c r="IG13" s="128"/>
      <c r="IH13" s="128"/>
      <c r="II13" s="128"/>
      <c r="IJ13" s="128"/>
      <c r="IK13" s="128"/>
      <c r="IL13" s="128"/>
      <c r="IM13" s="128"/>
      <c r="IN13" s="128"/>
      <c r="IO13" s="128"/>
      <c r="IP13" s="128"/>
      <c r="IQ13" s="128"/>
      <c r="IR13" s="128"/>
      <c r="IS13" s="128"/>
      <c r="IT13" s="128"/>
      <c r="IU13" s="128"/>
    </row>
    <row r="14" ht="12.75" customHeight="1">
      <c r="A14" s="138">
        <v>7.0</v>
      </c>
      <c r="B14" s="143" t="s">
        <v>94</v>
      </c>
      <c r="C14" s="37"/>
      <c r="D14" s="37"/>
      <c r="E14" s="140"/>
      <c r="F14" s="141">
        <v>0.0</v>
      </c>
      <c r="G14" s="140">
        <v>48.0</v>
      </c>
      <c r="H14" s="142">
        <v>0.0</v>
      </c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8"/>
      <c r="EC14" s="128"/>
      <c r="ED14" s="128"/>
      <c r="EE14" s="128"/>
      <c r="EF14" s="128"/>
      <c r="EG14" s="128"/>
      <c r="EH14" s="128"/>
      <c r="EI14" s="128"/>
      <c r="EJ14" s="128"/>
      <c r="EK14" s="128"/>
      <c r="EL14" s="128"/>
      <c r="EM14" s="128"/>
      <c r="EN14" s="128"/>
      <c r="EO14" s="128"/>
      <c r="EP14" s="128"/>
      <c r="EQ14" s="128"/>
      <c r="ER14" s="128"/>
      <c r="ES14" s="128"/>
      <c r="ET14" s="128"/>
      <c r="EU14" s="128"/>
      <c r="EV14" s="128"/>
      <c r="EW14" s="128"/>
      <c r="EX14" s="128"/>
      <c r="EY14" s="128"/>
      <c r="EZ14" s="128"/>
      <c r="FA14" s="128"/>
      <c r="FB14" s="128"/>
      <c r="FC14" s="128"/>
      <c r="FD14" s="128"/>
      <c r="FE14" s="128"/>
      <c r="FF14" s="128"/>
      <c r="FG14" s="128"/>
      <c r="FH14" s="128"/>
      <c r="FI14" s="128"/>
      <c r="FJ14" s="128"/>
      <c r="FK14" s="128"/>
      <c r="FL14" s="128"/>
      <c r="FM14" s="128"/>
      <c r="FN14" s="128"/>
      <c r="FO14" s="128"/>
      <c r="FP14" s="128"/>
      <c r="FQ14" s="128"/>
      <c r="FR14" s="128"/>
      <c r="FS14" s="128"/>
      <c r="FT14" s="128"/>
      <c r="FU14" s="128"/>
      <c r="FV14" s="128"/>
      <c r="FW14" s="128"/>
      <c r="FX14" s="128"/>
      <c r="FY14" s="128"/>
      <c r="FZ14" s="128"/>
      <c r="GA14" s="128"/>
      <c r="GB14" s="128"/>
      <c r="GC14" s="128"/>
      <c r="GD14" s="128"/>
      <c r="GE14" s="128"/>
      <c r="GF14" s="128"/>
      <c r="GG14" s="128"/>
      <c r="GH14" s="128"/>
      <c r="GI14" s="128"/>
      <c r="GJ14" s="128"/>
      <c r="GK14" s="128"/>
      <c r="GL14" s="128"/>
      <c r="GM14" s="128"/>
      <c r="GN14" s="128"/>
      <c r="GO14" s="128"/>
      <c r="GP14" s="128"/>
      <c r="GQ14" s="128"/>
      <c r="GR14" s="128"/>
      <c r="GS14" s="128"/>
      <c r="GT14" s="128"/>
      <c r="GU14" s="128"/>
      <c r="GV14" s="128"/>
      <c r="GW14" s="128"/>
      <c r="GX14" s="128"/>
      <c r="GY14" s="128"/>
      <c r="GZ14" s="128"/>
      <c r="HA14" s="128"/>
      <c r="HB14" s="128"/>
      <c r="HC14" s="128"/>
      <c r="HD14" s="128"/>
      <c r="HE14" s="128"/>
      <c r="HF14" s="128"/>
      <c r="HG14" s="128"/>
      <c r="HH14" s="128"/>
      <c r="HI14" s="128"/>
      <c r="HJ14" s="128"/>
      <c r="HK14" s="128"/>
      <c r="HL14" s="128"/>
      <c r="HM14" s="128"/>
      <c r="HN14" s="128"/>
      <c r="HO14" s="128"/>
      <c r="HP14" s="128"/>
      <c r="HQ14" s="128"/>
      <c r="HR14" s="128"/>
      <c r="HS14" s="128"/>
      <c r="HT14" s="128"/>
      <c r="HU14" s="128"/>
      <c r="HV14" s="128"/>
      <c r="HW14" s="128"/>
      <c r="HX14" s="128"/>
      <c r="HY14" s="128"/>
      <c r="HZ14" s="128"/>
      <c r="IA14" s="128"/>
      <c r="IB14" s="128"/>
      <c r="IC14" s="128"/>
      <c r="ID14" s="128"/>
      <c r="IE14" s="128"/>
      <c r="IF14" s="128"/>
      <c r="IG14" s="128"/>
      <c r="IH14" s="128"/>
      <c r="II14" s="128"/>
      <c r="IJ14" s="128"/>
      <c r="IK14" s="128"/>
      <c r="IL14" s="128"/>
      <c r="IM14" s="128"/>
      <c r="IN14" s="128"/>
      <c r="IO14" s="128"/>
      <c r="IP14" s="128"/>
      <c r="IQ14" s="128"/>
      <c r="IR14" s="128"/>
      <c r="IS14" s="128"/>
      <c r="IT14" s="128"/>
      <c r="IU14" s="128"/>
    </row>
    <row r="15" ht="12.75" customHeight="1">
      <c r="A15" s="138">
        <v>8.0</v>
      </c>
      <c r="B15" s="144" t="s">
        <v>95</v>
      </c>
      <c r="C15" s="37"/>
      <c r="D15" s="37"/>
      <c r="E15" s="140"/>
      <c r="F15" s="141" t="str">
        <f>F13</f>
        <v>123.00</v>
      </c>
      <c r="G15" s="140">
        <v>49.0</v>
      </c>
      <c r="H15" s="145" t="str">
        <f>+H13+H14</f>
        <v>19.68</v>
      </c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28"/>
      <c r="DH15" s="128"/>
      <c r="DI15" s="128"/>
      <c r="DJ15" s="128"/>
      <c r="DK15" s="128"/>
      <c r="DL15" s="128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8"/>
      <c r="DZ15" s="128"/>
      <c r="EA15" s="128"/>
      <c r="EB15" s="128"/>
      <c r="EC15" s="128"/>
      <c r="ED15" s="128"/>
      <c r="EE15" s="128"/>
      <c r="EF15" s="128"/>
      <c r="EG15" s="128"/>
      <c r="EH15" s="128"/>
      <c r="EI15" s="128"/>
      <c r="EJ15" s="128"/>
      <c r="EK15" s="128"/>
      <c r="EL15" s="128"/>
      <c r="EM15" s="128"/>
      <c r="EN15" s="128"/>
      <c r="EO15" s="128"/>
      <c r="EP15" s="128"/>
      <c r="EQ15" s="128"/>
      <c r="ER15" s="128"/>
      <c r="ES15" s="128"/>
      <c r="ET15" s="128"/>
      <c r="EU15" s="128"/>
      <c r="EV15" s="128"/>
      <c r="EW15" s="128"/>
      <c r="EX15" s="128"/>
      <c r="EY15" s="128"/>
      <c r="EZ15" s="128"/>
      <c r="FA15" s="128"/>
      <c r="FB15" s="128"/>
      <c r="FC15" s="128"/>
      <c r="FD15" s="128"/>
      <c r="FE15" s="128"/>
      <c r="FF15" s="128"/>
      <c r="FG15" s="128"/>
      <c r="FH15" s="128"/>
      <c r="FI15" s="128"/>
      <c r="FJ15" s="128"/>
      <c r="FK15" s="128"/>
      <c r="FL15" s="128"/>
      <c r="FM15" s="128"/>
      <c r="FN15" s="128"/>
      <c r="FO15" s="128"/>
      <c r="FP15" s="128"/>
      <c r="FQ15" s="128"/>
      <c r="FR15" s="128"/>
      <c r="FS15" s="128"/>
      <c r="FT15" s="128"/>
      <c r="FU15" s="128"/>
      <c r="FV15" s="128"/>
      <c r="FW15" s="128"/>
      <c r="FX15" s="128"/>
      <c r="FY15" s="128"/>
      <c r="FZ15" s="128"/>
      <c r="GA15" s="128"/>
      <c r="GB15" s="128"/>
      <c r="GC15" s="128"/>
      <c r="GD15" s="128"/>
      <c r="GE15" s="128"/>
      <c r="GF15" s="128"/>
      <c r="GG15" s="128"/>
      <c r="GH15" s="128"/>
      <c r="GI15" s="128"/>
      <c r="GJ15" s="128"/>
      <c r="GK15" s="128"/>
      <c r="GL15" s="128"/>
      <c r="GM15" s="128"/>
      <c r="GN15" s="128"/>
      <c r="GO15" s="128"/>
      <c r="GP15" s="128"/>
      <c r="GQ15" s="128"/>
      <c r="GR15" s="128"/>
      <c r="GS15" s="128"/>
      <c r="GT15" s="128"/>
      <c r="GU15" s="128"/>
      <c r="GV15" s="128"/>
      <c r="GW15" s="128"/>
      <c r="GX15" s="128"/>
      <c r="GY15" s="128"/>
      <c r="GZ15" s="128"/>
      <c r="HA15" s="128"/>
      <c r="HB15" s="128"/>
      <c r="HC15" s="128"/>
      <c r="HD15" s="128"/>
      <c r="HE15" s="128"/>
      <c r="HF15" s="128"/>
      <c r="HG15" s="128"/>
      <c r="HH15" s="128"/>
      <c r="HI15" s="128"/>
      <c r="HJ15" s="128"/>
      <c r="HK15" s="128"/>
      <c r="HL15" s="128"/>
      <c r="HM15" s="128"/>
      <c r="HN15" s="128"/>
      <c r="HO15" s="128"/>
      <c r="HP15" s="128"/>
      <c r="HQ15" s="128"/>
      <c r="HR15" s="128"/>
      <c r="HS15" s="128"/>
      <c r="HT15" s="128"/>
      <c r="HU15" s="128"/>
      <c r="HV15" s="128"/>
      <c r="HW15" s="128"/>
      <c r="HX15" s="128"/>
      <c r="HY15" s="128"/>
      <c r="HZ15" s="128"/>
      <c r="IA15" s="128"/>
      <c r="IB15" s="128"/>
      <c r="IC15" s="128"/>
      <c r="ID15" s="128"/>
      <c r="IE15" s="128"/>
      <c r="IF15" s="128"/>
      <c r="IG15" s="128"/>
      <c r="IH15" s="128"/>
      <c r="II15" s="128"/>
      <c r="IJ15" s="128"/>
      <c r="IK15" s="128"/>
      <c r="IL15" s="128"/>
      <c r="IM15" s="128"/>
      <c r="IN15" s="128"/>
      <c r="IO15" s="128"/>
      <c r="IP15" s="128"/>
      <c r="IQ15" s="128"/>
      <c r="IR15" s="128"/>
      <c r="IS15" s="128"/>
      <c r="IT15" s="128"/>
      <c r="IU15" s="128"/>
    </row>
    <row r="16" ht="12.75" customHeight="1">
      <c r="A16" s="134" t="s">
        <v>96</v>
      </c>
      <c r="B16" s="37"/>
      <c r="C16" s="37"/>
      <c r="D16" s="37"/>
      <c r="E16" s="38"/>
      <c r="F16" s="135" t="s">
        <v>18</v>
      </c>
      <c r="G16" s="140"/>
      <c r="H16" s="137" t="s">
        <v>97</v>
      </c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/>
      <c r="CR16" s="128"/>
      <c r="CS16" s="128"/>
      <c r="CT16" s="128"/>
      <c r="CU16" s="128"/>
      <c r="CV16" s="128"/>
      <c r="CW16" s="128"/>
      <c r="CX16" s="128"/>
      <c r="CY16" s="128"/>
      <c r="CZ16" s="128"/>
      <c r="DA16" s="128"/>
      <c r="DB16" s="128"/>
      <c r="DC16" s="128"/>
      <c r="DD16" s="128"/>
      <c r="DE16" s="128"/>
      <c r="DF16" s="128"/>
      <c r="DG16" s="128"/>
      <c r="DH16" s="128"/>
      <c r="DI16" s="128"/>
      <c r="DJ16" s="128"/>
      <c r="DK16" s="128"/>
      <c r="DL16" s="128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8"/>
      <c r="DZ16" s="128"/>
      <c r="EA16" s="128"/>
      <c r="EB16" s="128"/>
      <c r="EC16" s="128"/>
      <c r="ED16" s="128"/>
      <c r="EE16" s="128"/>
      <c r="EF16" s="128"/>
      <c r="EG16" s="128"/>
      <c r="EH16" s="128"/>
      <c r="EI16" s="128"/>
      <c r="EJ16" s="128"/>
      <c r="EK16" s="128"/>
      <c r="EL16" s="128"/>
      <c r="EM16" s="128"/>
      <c r="EN16" s="128"/>
      <c r="EO16" s="128"/>
      <c r="EP16" s="128"/>
      <c r="EQ16" s="128"/>
      <c r="ER16" s="128"/>
      <c r="ES16" s="128"/>
      <c r="ET16" s="128"/>
      <c r="EU16" s="128"/>
      <c r="EV16" s="128"/>
      <c r="EW16" s="128"/>
      <c r="EX16" s="128"/>
      <c r="EY16" s="128"/>
      <c r="EZ16" s="128"/>
      <c r="FA16" s="128"/>
      <c r="FB16" s="128"/>
      <c r="FC16" s="128"/>
      <c r="FD16" s="128"/>
      <c r="FE16" s="128"/>
      <c r="FF16" s="128"/>
      <c r="FG16" s="128"/>
      <c r="FH16" s="128"/>
      <c r="FI16" s="128"/>
      <c r="FJ16" s="128"/>
      <c r="FK16" s="128"/>
      <c r="FL16" s="128"/>
      <c r="FM16" s="128"/>
      <c r="FN16" s="128"/>
      <c r="FO16" s="128"/>
      <c r="FP16" s="128"/>
      <c r="FQ16" s="128"/>
      <c r="FR16" s="128"/>
      <c r="FS16" s="128"/>
      <c r="FT16" s="128"/>
      <c r="FU16" s="128"/>
      <c r="FV16" s="128"/>
      <c r="FW16" s="128"/>
      <c r="FX16" s="128"/>
      <c r="FY16" s="128"/>
      <c r="FZ16" s="128"/>
      <c r="GA16" s="128"/>
      <c r="GB16" s="128"/>
      <c r="GC16" s="128"/>
      <c r="GD16" s="128"/>
      <c r="GE16" s="128"/>
      <c r="GF16" s="128"/>
      <c r="GG16" s="128"/>
      <c r="GH16" s="128"/>
      <c r="GI16" s="128"/>
      <c r="GJ16" s="128"/>
      <c r="GK16" s="128"/>
      <c r="GL16" s="128"/>
      <c r="GM16" s="128"/>
      <c r="GN16" s="128"/>
      <c r="GO16" s="128"/>
      <c r="GP16" s="128"/>
      <c r="GQ16" s="128"/>
      <c r="GR16" s="128"/>
      <c r="GS16" s="128"/>
      <c r="GT16" s="128"/>
      <c r="GU16" s="128"/>
      <c r="GV16" s="128"/>
      <c r="GW16" s="128"/>
      <c r="GX16" s="128"/>
      <c r="GY16" s="128"/>
      <c r="GZ16" s="128"/>
      <c r="HA16" s="128"/>
      <c r="HB16" s="128"/>
      <c r="HC16" s="128"/>
      <c r="HD16" s="128"/>
      <c r="HE16" s="128"/>
      <c r="HF16" s="128"/>
      <c r="HG16" s="128"/>
      <c r="HH16" s="128"/>
      <c r="HI16" s="128"/>
      <c r="HJ16" s="128"/>
      <c r="HK16" s="128"/>
      <c r="HL16" s="128"/>
      <c r="HM16" s="128"/>
      <c r="HN16" s="128"/>
      <c r="HO16" s="128"/>
      <c r="HP16" s="128"/>
      <c r="HQ16" s="128"/>
      <c r="HR16" s="128"/>
      <c r="HS16" s="128"/>
      <c r="HT16" s="128"/>
      <c r="HU16" s="128"/>
      <c r="HV16" s="128"/>
      <c r="HW16" s="128"/>
      <c r="HX16" s="128"/>
      <c r="HY16" s="128"/>
      <c r="HZ16" s="128"/>
      <c r="IA16" s="128"/>
      <c r="IB16" s="128"/>
      <c r="IC16" s="128"/>
      <c r="ID16" s="128"/>
      <c r="IE16" s="128"/>
      <c r="IF16" s="128"/>
      <c r="IG16" s="128"/>
      <c r="IH16" s="128"/>
      <c r="II16" s="128"/>
      <c r="IJ16" s="128"/>
      <c r="IK16" s="128"/>
      <c r="IL16" s="128"/>
      <c r="IM16" s="128"/>
      <c r="IN16" s="128"/>
      <c r="IO16" s="128"/>
      <c r="IP16" s="128"/>
      <c r="IQ16" s="128"/>
      <c r="IR16" s="128"/>
      <c r="IS16" s="128"/>
      <c r="IT16" s="128"/>
      <c r="IU16" s="128"/>
    </row>
    <row r="17" ht="12.75" customHeight="1">
      <c r="A17" s="138">
        <v>9.0</v>
      </c>
      <c r="B17" s="143" t="s">
        <v>98</v>
      </c>
      <c r="C17" s="37"/>
      <c r="D17" s="37"/>
      <c r="E17" s="140">
        <v>30.0</v>
      </c>
      <c r="F17" s="141">
        <v>123.0</v>
      </c>
      <c r="G17" s="140"/>
      <c r="H17" s="142">
        <v>0.0</v>
      </c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28"/>
      <c r="DH17" s="128"/>
      <c r="DI17" s="128"/>
      <c r="DJ17" s="128"/>
      <c r="DK17" s="128"/>
      <c r="DL17" s="128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8"/>
      <c r="DZ17" s="128"/>
      <c r="EA17" s="128"/>
      <c r="EB17" s="128"/>
      <c r="EC17" s="128"/>
      <c r="ED17" s="128"/>
      <c r="EE17" s="128"/>
      <c r="EF17" s="128"/>
      <c r="EG17" s="128"/>
      <c r="EH17" s="128"/>
      <c r="EI17" s="128"/>
      <c r="EJ17" s="128"/>
      <c r="EK17" s="128"/>
      <c r="EL17" s="128"/>
      <c r="EM17" s="128"/>
      <c r="EN17" s="128"/>
      <c r="EO17" s="128"/>
      <c r="EP17" s="128"/>
      <c r="EQ17" s="128"/>
      <c r="ER17" s="128"/>
      <c r="ES17" s="128"/>
      <c r="ET17" s="128"/>
      <c r="EU17" s="128"/>
      <c r="EV17" s="128"/>
      <c r="EW17" s="128"/>
      <c r="EX17" s="128"/>
      <c r="EY17" s="128"/>
      <c r="EZ17" s="128"/>
      <c r="FA17" s="128"/>
      <c r="FB17" s="128"/>
      <c r="FC17" s="128"/>
      <c r="FD17" s="128"/>
      <c r="FE17" s="128"/>
      <c r="FF17" s="128"/>
      <c r="FG17" s="128"/>
      <c r="FH17" s="128"/>
      <c r="FI17" s="128"/>
      <c r="FJ17" s="128"/>
      <c r="FK17" s="128"/>
      <c r="FL17" s="128"/>
      <c r="FM17" s="128"/>
      <c r="FN17" s="128"/>
      <c r="FO17" s="128"/>
      <c r="FP17" s="128"/>
      <c r="FQ17" s="128"/>
      <c r="FR17" s="128"/>
      <c r="FS17" s="128"/>
      <c r="FT17" s="128"/>
      <c r="FU17" s="128"/>
      <c r="FV17" s="128"/>
      <c r="FW17" s="128"/>
      <c r="FX17" s="128"/>
      <c r="FY17" s="128"/>
      <c r="FZ17" s="128"/>
      <c r="GA17" s="128"/>
      <c r="GB17" s="128"/>
      <c r="GC17" s="128"/>
      <c r="GD17" s="128"/>
      <c r="GE17" s="128"/>
      <c r="GF17" s="128"/>
      <c r="GG17" s="128"/>
      <c r="GH17" s="128"/>
      <c r="GI17" s="128"/>
      <c r="GJ17" s="128"/>
      <c r="GK17" s="128"/>
      <c r="GL17" s="128"/>
      <c r="GM17" s="128"/>
      <c r="GN17" s="128"/>
      <c r="GO17" s="128"/>
      <c r="GP17" s="128"/>
      <c r="GQ17" s="128"/>
      <c r="GR17" s="128"/>
      <c r="GS17" s="128"/>
      <c r="GT17" s="128"/>
      <c r="GU17" s="128"/>
      <c r="GV17" s="128"/>
      <c r="GW17" s="128"/>
      <c r="GX17" s="128"/>
      <c r="GY17" s="128"/>
      <c r="GZ17" s="128"/>
      <c r="HA17" s="128"/>
      <c r="HB17" s="128"/>
      <c r="HC17" s="128"/>
      <c r="HD17" s="128"/>
      <c r="HE17" s="128"/>
      <c r="HF17" s="128"/>
      <c r="HG17" s="128"/>
      <c r="HH17" s="128"/>
      <c r="HI17" s="128"/>
      <c r="HJ17" s="128"/>
      <c r="HK17" s="128"/>
      <c r="HL17" s="128"/>
      <c r="HM17" s="128"/>
      <c r="HN17" s="128"/>
      <c r="HO17" s="128"/>
      <c r="HP17" s="128"/>
      <c r="HQ17" s="128"/>
      <c r="HR17" s="128"/>
      <c r="HS17" s="128"/>
      <c r="HT17" s="128"/>
      <c r="HU17" s="128"/>
      <c r="HV17" s="128"/>
      <c r="HW17" s="128"/>
      <c r="HX17" s="128"/>
      <c r="HY17" s="128"/>
      <c r="HZ17" s="128"/>
      <c r="IA17" s="128"/>
      <c r="IB17" s="128"/>
      <c r="IC17" s="128"/>
      <c r="ID17" s="128"/>
      <c r="IE17" s="128"/>
      <c r="IF17" s="128"/>
      <c r="IG17" s="128"/>
      <c r="IH17" s="128"/>
      <c r="II17" s="128"/>
      <c r="IJ17" s="128"/>
      <c r="IK17" s="128"/>
      <c r="IL17" s="128"/>
      <c r="IM17" s="128"/>
      <c r="IN17" s="128"/>
      <c r="IO17" s="128"/>
      <c r="IP17" s="128"/>
      <c r="IQ17" s="128"/>
      <c r="IR17" s="128"/>
      <c r="IS17" s="128"/>
      <c r="IT17" s="128"/>
      <c r="IU17" s="128"/>
    </row>
    <row r="18" ht="12.75" customHeight="1">
      <c r="A18" s="138">
        <v>10.0</v>
      </c>
      <c r="B18" s="143" t="s">
        <v>99</v>
      </c>
      <c r="C18" s="37"/>
      <c r="D18" s="37"/>
      <c r="E18" s="140">
        <v>31.0</v>
      </c>
      <c r="F18" s="141" t="str">
        <f>+'[1]Declaracion JUN2022'!$H$65</f>
        <v>#REF!</v>
      </c>
      <c r="G18" s="140">
        <v>32.0</v>
      </c>
      <c r="H18" s="142">
        <v>0.0</v>
      </c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28"/>
      <c r="CP18" s="128"/>
      <c r="CQ18" s="128"/>
      <c r="CR18" s="128"/>
      <c r="CS18" s="128"/>
      <c r="CT18" s="128"/>
      <c r="CU18" s="128"/>
      <c r="CV18" s="128"/>
      <c r="CW18" s="128"/>
      <c r="CX18" s="128"/>
      <c r="CY18" s="128"/>
      <c r="CZ18" s="128"/>
      <c r="DA18" s="128"/>
      <c r="DB18" s="128"/>
      <c r="DC18" s="128"/>
      <c r="DD18" s="128"/>
      <c r="DE18" s="128"/>
      <c r="DF18" s="128"/>
      <c r="DG18" s="128"/>
      <c r="DH18" s="128"/>
      <c r="DI18" s="128"/>
      <c r="DJ18" s="128"/>
      <c r="DK18" s="128"/>
      <c r="DL18" s="128"/>
      <c r="DM18" s="128"/>
      <c r="DN18" s="128"/>
      <c r="DO18" s="128"/>
      <c r="DP18" s="128"/>
      <c r="DQ18" s="128"/>
      <c r="DR18" s="128"/>
      <c r="DS18" s="128"/>
      <c r="DT18" s="128"/>
      <c r="DU18" s="128"/>
      <c r="DV18" s="128"/>
      <c r="DW18" s="128"/>
      <c r="DX18" s="128"/>
      <c r="DY18" s="128"/>
      <c r="DZ18" s="128"/>
      <c r="EA18" s="128"/>
      <c r="EB18" s="128"/>
      <c r="EC18" s="128"/>
      <c r="ED18" s="128"/>
      <c r="EE18" s="128"/>
      <c r="EF18" s="128"/>
      <c r="EG18" s="128"/>
      <c r="EH18" s="128"/>
      <c r="EI18" s="128"/>
      <c r="EJ18" s="128"/>
      <c r="EK18" s="128"/>
      <c r="EL18" s="128"/>
      <c r="EM18" s="128"/>
      <c r="EN18" s="128"/>
      <c r="EO18" s="128"/>
      <c r="EP18" s="128"/>
      <c r="EQ18" s="128"/>
      <c r="ER18" s="128"/>
      <c r="ES18" s="128"/>
      <c r="ET18" s="128"/>
      <c r="EU18" s="128"/>
      <c r="EV18" s="128"/>
      <c r="EW18" s="128"/>
      <c r="EX18" s="128"/>
      <c r="EY18" s="128"/>
      <c r="EZ18" s="128"/>
      <c r="FA18" s="128"/>
      <c r="FB18" s="128"/>
      <c r="FC18" s="128"/>
      <c r="FD18" s="128"/>
      <c r="FE18" s="128"/>
      <c r="FF18" s="128"/>
      <c r="FG18" s="128"/>
      <c r="FH18" s="128"/>
      <c r="FI18" s="128"/>
      <c r="FJ18" s="128"/>
      <c r="FK18" s="128"/>
      <c r="FL18" s="128"/>
      <c r="FM18" s="128"/>
      <c r="FN18" s="128"/>
      <c r="FO18" s="128"/>
      <c r="FP18" s="128"/>
      <c r="FQ18" s="128"/>
      <c r="FR18" s="128"/>
      <c r="FS18" s="128"/>
      <c r="FT18" s="128"/>
      <c r="FU18" s="128"/>
      <c r="FV18" s="128"/>
      <c r="FW18" s="128"/>
      <c r="FX18" s="128"/>
      <c r="FY18" s="128"/>
      <c r="FZ18" s="128"/>
      <c r="GA18" s="128"/>
      <c r="GB18" s="128"/>
      <c r="GC18" s="128"/>
      <c r="GD18" s="128"/>
      <c r="GE18" s="128"/>
      <c r="GF18" s="128"/>
      <c r="GG18" s="128"/>
      <c r="GH18" s="128"/>
      <c r="GI18" s="128"/>
      <c r="GJ18" s="128"/>
      <c r="GK18" s="128"/>
      <c r="GL18" s="128"/>
      <c r="GM18" s="128"/>
      <c r="GN18" s="128"/>
      <c r="GO18" s="128"/>
      <c r="GP18" s="128"/>
      <c r="GQ18" s="128"/>
      <c r="GR18" s="128"/>
      <c r="GS18" s="128"/>
      <c r="GT18" s="128"/>
      <c r="GU18" s="128"/>
      <c r="GV18" s="128"/>
      <c r="GW18" s="128"/>
      <c r="GX18" s="128"/>
      <c r="GY18" s="128"/>
      <c r="GZ18" s="128"/>
      <c r="HA18" s="128"/>
      <c r="HB18" s="128"/>
      <c r="HC18" s="128"/>
      <c r="HD18" s="128"/>
      <c r="HE18" s="128"/>
      <c r="HF18" s="128"/>
      <c r="HG18" s="128"/>
      <c r="HH18" s="128"/>
      <c r="HI18" s="128"/>
      <c r="HJ18" s="128"/>
      <c r="HK18" s="128"/>
      <c r="HL18" s="128"/>
      <c r="HM18" s="128"/>
      <c r="HN18" s="128"/>
      <c r="HO18" s="128"/>
      <c r="HP18" s="128"/>
      <c r="HQ18" s="128"/>
      <c r="HR18" s="128"/>
      <c r="HS18" s="128"/>
      <c r="HT18" s="128"/>
      <c r="HU18" s="128"/>
      <c r="HV18" s="128"/>
      <c r="HW18" s="128"/>
      <c r="HX18" s="128"/>
      <c r="HY18" s="128"/>
      <c r="HZ18" s="128"/>
      <c r="IA18" s="128"/>
      <c r="IB18" s="128"/>
      <c r="IC18" s="128"/>
      <c r="ID18" s="128"/>
      <c r="IE18" s="128"/>
      <c r="IF18" s="128"/>
      <c r="IG18" s="128"/>
      <c r="IH18" s="128"/>
      <c r="II18" s="128"/>
      <c r="IJ18" s="128"/>
      <c r="IK18" s="128"/>
      <c r="IL18" s="128"/>
      <c r="IM18" s="128"/>
      <c r="IN18" s="128"/>
      <c r="IO18" s="128"/>
      <c r="IP18" s="128"/>
      <c r="IQ18" s="128"/>
      <c r="IR18" s="128"/>
      <c r="IS18" s="128"/>
      <c r="IT18" s="128"/>
      <c r="IU18" s="128"/>
    </row>
    <row r="19" ht="12.75" customHeight="1">
      <c r="A19" s="138">
        <v>11.0</v>
      </c>
      <c r="B19" s="143" t="s">
        <v>100</v>
      </c>
      <c r="C19" s="37"/>
      <c r="D19" s="37"/>
      <c r="E19" s="140">
        <v>312.0</v>
      </c>
      <c r="F19" s="141">
        <v>0.0</v>
      </c>
      <c r="G19" s="140">
        <v>322.0</v>
      </c>
      <c r="H19" s="142">
        <v>0.0</v>
      </c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28"/>
      <c r="CP19" s="128"/>
      <c r="CQ19" s="128"/>
      <c r="CR19" s="128"/>
      <c r="CS19" s="128"/>
      <c r="CT19" s="128"/>
      <c r="CU19" s="128"/>
      <c r="CV19" s="128"/>
      <c r="CW19" s="128"/>
      <c r="CX19" s="128"/>
      <c r="CY19" s="128"/>
      <c r="CZ19" s="128"/>
      <c r="DA19" s="128"/>
      <c r="DB19" s="128"/>
      <c r="DC19" s="128"/>
      <c r="DD19" s="128"/>
      <c r="DE19" s="128"/>
      <c r="DF19" s="128"/>
      <c r="DG19" s="128"/>
      <c r="DH19" s="128"/>
      <c r="DI19" s="128"/>
      <c r="DJ19" s="128"/>
      <c r="DK19" s="128"/>
      <c r="DL19" s="128"/>
      <c r="DM19" s="128"/>
      <c r="DN19" s="128"/>
      <c r="DO19" s="128"/>
      <c r="DP19" s="128"/>
      <c r="DQ19" s="128"/>
      <c r="DR19" s="128"/>
      <c r="DS19" s="128"/>
      <c r="DT19" s="128"/>
      <c r="DU19" s="128"/>
      <c r="DV19" s="128"/>
      <c r="DW19" s="128"/>
      <c r="DX19" s="128"/>
      <c r="DY19" s="128"/>
      <c r="DZ19" s="128"/>
      <c r="EA19" s="128"/>
      <c r="EB19" s="128"/>
      <c r="EC19" s="128"/>
      <c r="ED19" s="128"/>
      <c r="EE19" s="128"/>
      <c r="EF19" s="128"/>
      <c r="EG19" s="128"/>
      <c r="EH19" s="128"/>
      <c r="EI19" s="128"/>
      <c r="EJ19" s="128"/>
      <c r="EK19" s="128"/>
      <c r="EL19" s="128"/>
      <c r="EM19" s="128"/>
      <c r="EN19" s="128"/>
      <c r="EO19" s="128"/>
      <c r="EP19" s="128"/>
      <c r="EQ19" s="128"/>
      <c r="ER19" s="128"/>
      <c r="ES19" s="128"/>
      <c r="ET19" s="128"/>
      <c r="EU19" s="128"/>
      <c r="EV19" s="128"/>
      <c r="EW19" s="128"/>
      <c r="EX19" s="128"/>
      <c r="EY19" s="128"/>
      <c r="EZ19" s="128"/>
      <c r="FA19" s="128"/>
      <c r="FB19" s="128"/>
      <c r="FC19" s="128"/>
      <c r="FD19" s="128"/>
      <c r="FE19" s="128"/>
      <c r="FF19" s="128"/>
      <c r="FG19" s="128"/>
      <c r="FH19" s="128"/>
      <c r="FI19" s="128"/>
      <c r="FJ19" s="128"/>
      <c r="FK19" s="128"/>
      <c r="FL19" s="128"/>
      <c r="FM19" s="128"/>
      <c r="FN19" s="128"/>
      <c r="FO19" s="128"/>
      <c r="FP19" s="128"/>
      <c r="FQ19" s="128"/>
      <c r="FR19" s="128"/>
      <c r="FS19" s="128"/>
      <c r="FT19" s="128"/>
      <c r="FU19" s="128"/>
      <c r="FV19" s="128"/>
      <c r="FW19" s="128"/>
      <c r="FX19" s="128"/>
      <c r="FY19" s="128"/>
      <c r="FZ19" s="128"/>
      <c r="GA19" s="128"/>
      <c r="GB19" s="128"/>
      <c r="GC19" s="128"/>
      <c r="GD19" s="128"/>
      <c r="GE19" s="128"/>
      <c r="GF19" s="128"/>
      <c r="GG19" s="128"/>
      <c r="GH19" s="128"/>
      <c r="GI19" s="128"/>
      <c r="GJ19" s="128"/>
      <c r="GK19" s="128"/>
      <c r="GL19" s="128"/>
      <c r="GM19" s="128"/>
      <c r="GN19" s="128"/>
      <c r="GO19" s="128"/>
      <c r="GP19" s="128"/>
      <c r="GQ19" s="128"/>
      <c r="GR19" s="128"/>
      <c r="GS19" s="128"/>
      <c r="GT19" s="128"/>
      <c r="GU19" s="128"/>
      <c r="GV19" s="128"/>
      <c r="GW19" s="128"/>
      <c r="GX19" s="128"/>
      <c r="GY19" s="128"/>
      <c r="GZ19" s="128"/>
      <c r="HA19" s="128"/>
      <c r="HB19" s="128"/>
      <c r="HC19" s="128"/>
      <c r="HD19" s="128"/>
      <c r="HE19" s="128"/>
      <c r="HF19" s="128"/>
      <c r="HG19" s="128"/>
      <c r="HH19" s="128"/>
      <c r="HI19" s="128"/>
      <c r="HJ19" s="128"/>
      <c r="HK19" s="128"/>
      <c r="HL19" s="128"/>
      <c r="HM19" s="128"/>
      <c r="HN19" s="128"/>
      <c r="HO19" s="128"/>
      <c r="HP19" s="128"/>
      <c r="HQ19" s="128"/>
      <c r="HR19" s="128"/>
      <c r="HS19" s="128"/>
      <c r="HT19" s="128"/>
      <c r="HU19" s="128"/>
      <c r="HV19" s="128"/>
      <c r="HW19" s="128"/>
      <c r="HX19" s="128"/>
      <c r="HY19" s="128"/>
      <c r="HZ19" s="128"/>
      <c r="IA19" s="128"/>
      <c r="IB19" s="128"/>
      <c r="IC19" s="128"/>
      <c r="ID19" s="128"/>
      <c r="IE19" s="128"/>
      <c r="IF19" s="128"/>
      <c r="IG19" s="128"/>
      <c r="IH19" s="128"/>
      <c r="II19" s="128"/>
      <c r="IJ19" s="128"/>
      <c r="IK19" s="128"/>
      <c r="IL19" s="128"/>
      <c r="IM19" s="128"/>
      <c r="IN19" s="128"/>
      <c r="IO19" s="128"/>
      <c r="IP19" s="128"/>
      <c r="IQ19" s="128"/>
      <c r="IR19" s="128"/>
      <c r="IS19" s="128"/>
      <c r="IT19" s="128"/>
      <c r="IU19" s="128"/>
    </row>
    <row r="20" ht="12.75" customHeight="1">
      <c r="A20" s="138">
        <v>12.0</v>
      </c>
      <c r="B20" s="143" t="s">
        <v>101</v>
      </c>
      <c r="C20" s="37"/>
      <c r="D20" s="37"/>
      <c r="E20" s="140">
        <v>313.0</v>
      </c>
      <c r="F20" s="141">
        <v>0.0</v>
      </c>
      <c r="G20" s="140">
        <v>323.0</v>
      </c>
      <c r="H20" s="142">
        <v>0.0</v>
      </c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  <c r="CJ20" s="128"/>
      <c r="CK20" s="128"/>
      <c r="CL20" s="128"/>
      <c r="CM20" s="128"/>
      <c r="CN20" s="128"/>
      <c r="CO20" s="128"/>
      <c r="CP20" s="128"/>
      <c r="CQ20" s="128"/>
      <c r="CR20" s="128"/>
      <c r="CS20" s="128"/>
      <c r="CT20" s="128"/>
      <c r="CU20" s="128"/>
      <c r="CV20" s="128"/>
      <c r="CW20" s="128"/>
      <c r="CX20" s="128"/>
      <c r="CY20" s="128"/>
      <c r="CZ20" s="128"/>
      <c r="DA20" s="128"/>
      <c r="DB20" s="128"/>
      <c r="DC20" s="128"/>
      <c r="DD20" s="128"/>
      <c r="DE20" s="128"/>
      <c r="DF20" s="128"/>
      <c r="DG20" s="128"/>
      <c r="DH20" s="128"/>
      <c r="DI20" s="128"/>
      <c r="DJ20" s="128"/>
      <c r="DK20" s="128"/>
      <c r="DL20" s="128"/>
      <c r="DM20" s="128"/>
      <c r="DN20" s="128"/>
      <c r="DO20" s="128"/>
      <c r="DP20" s="128"/>
      <c r="DQ20" s="128"/>
      <c r="DR20" s="128"/>
      <c r="DS20" s="128"/>
      <c r="DT20" s="128"/>
      <c r="DU20" s="128"/>
      <c r="DV20" s="128"/>
      <c r="DW20" s="128"/>
      <c r="DX20" s="128"/>
      <c r="DY20" s="128"/>
      <c r="DZ20" s="128"/>
      <c r="EA20" s="128"/>
      <c r="EB20" s="128"/>
      <c r="EC20" s="128"/>
      <c r="ED20" s="128"/>
      <c r="EE20" s="128"/>
      <c r="EF20" s="128"/>
      <c r="EG20" s="128"/>
      <c r="EH20" s="128"/>
      <c r="EI20" s="128"/>
      <c r="EJ20" s="128"/>
      <c r="EK20" s="128"/>
      <c r="EL20" s="128"/>
      <c r="EM20" s="128"/>
      <c r="EN20" s="128"/>
      <c r="EO20" s="128"/>
      <c r="EP20" s="128"/>
      <c r="EQ20" s="128"/>
      <c r="ER20" s="128"/>
      <c r="ES20" s="128"/>
      <c r="ET20" s="128"/>
      <c r="EU20" s="128"/>
      <c r="EV20" s="128"/>
      <c r="EW20" s="128"/>
      <c r="EX20" s="128"/>
      <c r="EY20" s="128"/>
      <c r="EZ20" s="128"/>
      <c r="FA20" s="128"/>
      <c r="FB20" s="128"/>
      <c r="FC20" s="128"/>
      <c r="FD20" s="128"/>
      <c r="FE20" s="128"/>
      <c r="FF20" s="128"/>
      <c r="FG20" s="128"/>
      <c r="FH20" s="128"/>
      <c r="FI20" s="128"/>
      <c r="FJ20" s="128"/>
      <c r="FK20" s="128"/>
      <c r="FL20" s="128"/>
      <c r="FM20" s="128"/>
      <c r="FN20" s="128"/>
      <c r="FO20" s="128"/>
      <c r="FP20" s="128"/>
      <c r="FQ20" s="128"/>
      <c r="FR20" s="128"/>
      <c r="FS20" s="128"/>
      <c r="FT20" s="128"/>
      <c r="FU20" s="128"/>
      <c r="FV20" s="128"/>
      <c r="FW20" s="128"/>
      <c r="FX20" s="128"/>
      <c r="FY20" s="128"/>
      <c r="FZ20" s="128"/>
      <c r="GA20" s="128"/>
      <c r="GB20" s="128"/>
      <c r="GC20" s="128"/>
      <c r="GD20" s="128"/>
      <c r="GE20" s="128"/>
      <c r="GF20" s="128"/>
      <c r="GG20" s="128"/>
      <c r="GH20" s="128"/>
      <c r="GI20" s="128"/>
      <c r="GJ20" s="128"/>
      <c r="GK20" s="128"/>
      <c r="GL20" s="128"/>
      <c r="GM20" s="128"/>
      <c r="GN20" s="128"/>
      <c r="GO20" s="128"/>
      <c r="GP20" s="128"/>
      <c r="GQ20" s="128"/>
      <c r="GR20" s="128"/>
      <c r="GS20" s="128"/>
      <c r="GT20" s="128"/>
      <c r="GU20" s="128"/>
      <c r="GV20" s="128"/>
      <c r="GW20" s="128"/>
      <c r="GX20" s="128"/>
      <c r="GY20" s="128"/>
      <c r="GZ20" s="128"/>
      <c r="HA20" s="128"/>
      <c r="HB20" s="128"/>
      <c r="HC20" s="128"/>
      <c r="HD20" s="128"/>
      <c r="HE20" s="128"/>
      <c r="HF20" s="128"/>
      <c r="HG20" s="128"/>
      <c r="HH20" s="128"/>
      <c r="HI20" s="128"/>
      <c r="HJ20" s="128"/>
      <c r="HK20" s="128"/>
      <c r="HL20" s="128"/>
      <c r="HM20" s="128"/>
      <c r="HN20" s="128"/>
      <c r="HO20" s="128"/>
      <c r="HP20" s="128"/>
      <c r="HQ20" s="128"/>
      <c r="HR20" s="128"/>
      <c r="HS20" s="128"/>
      <c r="HT20" s="128"/>
      <c r="HU20" s="128"/>
      <c r="HV20" s="128"/>
      <c r="HW20" s="128"/>
      <c r="HX20" s="128"/>
      <c r="HY20" s="128"/>
      <c r="HZ20" s="128"/>
      <c r="IA20" s="128"/>
      <c r="IB20" s="128"/>
      <c r="IC20" s="128"/>
      <c r="ID20" s="128"/>
      <c r="IE20" s="128"/>
      <c r="IF20" s="128"/>
      <c r="IG20" s="128"/>
      <c r="IH20" s="128"/>
      <c r="II20" s="128"/>
      <c r="IJ20" s="128"/>
      <c r="IK20" s="128"/>
      <c r="IL20" s="128"/>
      <c r="IM20" s="128"/>
      <c r="IN20" s="128"/>
      <c r="IO20" s="128"/>
      <c r="IP20" s="128"/>
      <c r="IQ20" s="128"/>
      <c r="IR20" s="128"/>
      <c r="IS20" s="128"/>
      <c r="IT20" s="128"/>
      <c r="IU20" s="128"/>
    </row>
    <row r="21" ht="12.75" customHeight="1">
      <c r="A21" s="138">
        <v>13.0</v>
      </c>
      <c r="B21" s="143" t="s">
        <v>102</v>
      </c>
      <c r="C21" s="37"/>
      <c r="D21" s="37"/>
      <c r="E21" s="140">
        <v>33.0</v>
      </c>
      <c r="F21" s="141">
        <v>123.0</v>
      </c>
      <c r="G21" s="140">
        <v>34.0</v>
      </c>
      <c r="H21" s="145" t="str">
        <f>F21*16%</f>
        <v>19.68</v>
      </c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  <c r="CJ21" s="128"/>
      <c r="CK21" s="128"/>
      <c r="CL21" s="128"/>
      <c r="CM21" s="128"/>
      <c r="CN21" s="128"/>
      <c r="CO21" s="128"/>
      <c r="CP21" s="128"/>
      <c r="CQ21" s="128"/>
      <c r="CR21" s="128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8"/>
      <c r="EC21" s="128"/>
      <c r="ED21" s="128"/>
      <c r="EE21" s="128"/>
      <c r="EF21" s="128"/>
      <c r="EG21" s="128"/>
      <c r="EH21" s="128"/>
      <c r="EI21" s="128"/>
      <c r="EJ21" s="128"/>
      <c r="EK21" s="128"/>
      <c r="EL21" s="128"/>
      <c r="EM21" s="128"/>
      <c r="EN21" s="128"/>
      <c r="EO21" s="128"/>
      <c r="EP21" s="128"/>
      <c r="EQ21" s="128"/>
      <c r="ER21" s="128"/>
      <c r="ES21" s="128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28"/>
      <c r="FH21" s="128"/>
      <c r="FI21" s="128"/>
      <c r="FJ21" s="128"/>
      <c r="FK21" s="128"/>
      <c r="FL21" s="128"/>
      <c r="FM21" s="128"/>
      <c r="FN21" s="128"/>
      <c r="FO21" s="128"/>
      <c r="FP21" s="128"/>
      <c r="FQ21" s="128"/>
      <c r="FR21" s="128"/>
      <c r="FS21" s="128"/>
      <c r="FT21" s="128"/>
      <c r="FU21" s="128"/>
      <c r="FV21" s="128"/>
      <c r="FW21" s="128"/>
      <c r="FX21" s="128"/>
      <c r="FY21" s="128"/>
      <c r="FZ21" s="128"/>
      <c r="GA21" s="128"/>
      <c r="GB21" s="128"/>
      <c r="GC21" s="128"/>
      <c r="GD21" s="128"/>
      <c r="GE21" s="128"/>
      <c r="GF21" s="128"/>
      <c r="GG21" s="128"/>
      <c r="GH21" s="128"/>
      <c r="GI21" s="128"/>
      <c r="GJ21" s="128"/>
      <c r="GK21" s="128"/>
      <c r="GL21" s="128"/>
      <c r="GM21" s="128"/>
      <c r="GN21" s="128"/>
      <c r="GO21" s="128"/>
      <c r="GP21" s="128"/>
      <c r="GQ21" s="128"/>
      <c r="GR21" s="128"/>
      <c r="GS21" s="128"/>
      <c r="GT21" s="128"/>
      <c r="GU21" s="128"/>
      <c r="GV21" s="128"/>
      <c r="GW21" s="128"/>
      <c r="GX21" s="128"/>
      <c r="GY21" s="128"/>
      <c r="GZ21" s="128"/>
      <c r="HA21" s="128"/>
      <c r="HB21" s="128"/>
      <c r="HC21" s="128"/>
      <c r="HD21" s="128"/>
      <c r="HE21" s="128"/>
      <c r="HF21" s="128"/>
      <c r="HG21" s="128"/>
      <c r="HH21" s="128"/>
      <c r="HI21" s="128"/>
      <c r="HJ21" s="128"/>
      <c r="HK21" s="128"/>
      <c r="HL21" s="128"/>
      <c r="HM21" s="128"/>
      <c r="HN21" s="128"/>
      <c r="HO21" s="128"/>
      <c r="HP21" s="128"/>
      <c r="HQ21" s="128"/>
      <c r="HR21" s="128"/>
      <c r="HS21" s="128"/>
      <c r="HT21" s="128"/>
      <c r="HU21" s="128"/>
      <c r="HV21" s="128"/>
      <c r="HW21" s="128"/>
      <c r="HX21" s="128"/>
      <c r="HY21" s="128"/>
      <c r="HZ21" s="128"/>
      <c r="IA21" s="128"/>
      <c r="IB21" s="128"/>
      <c r="IC21" s="128"/>
      <c r="ID21" s="128"/>
      <c r="IE21" s="128"/>
      <c r="IF21" s="128"/>
      <c r="IG21" s="128"/>
      <c r="IH21" s="128"/>
      <c r="II21" s="128"/>
      <c r="IJ21" s="128"/>
      <c r="IK21" s="128"/>
      <c r="IL21" s="128"/>
      <c r="IM21" s="128"/>
      <c r="IN21" s="128"/>
      <c r="IO21" s="128"/>
      <c r="IP21" s="128"/>
      <c r="IQ21" s="128"/>
      <c r="IR21" s="128"/>
      <c r="IS21" s="128"/>
      <c r="IT21" s="128"/>
      <c r="IU21" s="128"/>
    </row>
    <row r="22" ht="12.75" customHeight="1">
      <c r="A22" s="138">
        <v>14.0</v>
      </c>
      <c r="B22" s="143" t="s">
        <v>103</v>
      </c>
      <c r="C22" s="37"/>
      <c r="D22" s="37"/>
      <c r="E22" s="140">
        <v>332.0</v>
      </c>
      <c r="F22" s="141">
        <v>0.0</v>
      </c>
      <c r="G22" s="140">
        <v>342.0</v>
      </c>
      <c r="H22" s="142">
        <v>0.0</v>
      </c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8"/>
      <c r="CK22" s="128"/>
      <c r="CL22" s="128"/>
      <c r="CM22" s="128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28"/>
      <c r="DH22" s="128"/>
      <c r="DI22" s="128"/>
      <c r="DJ22" s="128"/>
      <c r="DK22" s="128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28"/>
      <c r="EG22" s="128"/>
      <c r="EH22" s="128"/>
      <c r="EI22" s="128"/>
      <c r="EJ22" s="128"/>
      <c r="EK22" s="128"/>
      <c r="EL22" s="128"/>
      <c r="EM22" s="128"/>
      <c r="EN22" s="128"/>
      <c r="EO22" s="128"/>
      <c r="EP22" s="128"/>
      <c r="EQ22" s="128"/>
      <c r="ER22" s="128"/>
      <c r="ES22" s="128"/>
      <c r="ET22" s="128"/>
      <c r="EU22" s="128"/>
      <c r="EV22" s="128"/>
      <c r="EW22" s="128"/>
      <c r="EX22" s="128"/>
      <c r="EY22" s="128"/>
      <c r="EZ22" s="128"/>
      <c r="FA22" s="128"/>
      <c r="FB22" s="128"/>
      <c r="FC22" s="128"/>
      <c r="FD22" s="128"/>
      <c r="FE22" s="128"/>
      <c r="FF22" s="128"/>
      <c r="FG22" s="128"/>
      <c r="FH22" s="128"/>
      <c r="FI22" s="128"/>
      <c r="FJ22" s="128"/>
      <c r="FK22" s="128"/>
      <c r="FL22" s="128"/>
      <c r="FM22" s="128"/>
      <c r="FN22" s="128"/>
      <c r="FO22" s="128"/>
      <c r="FP22" s="128"/>
      <c r="FQ22" s="128"/>
      <c r="FR22" s="128"/>
      <c r="FS22" s="128"/>
      <c r="FT22" s="128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128"/>
      <c r="GG22" s="128"/>
      <c r="GH22" s="128"/>
      <c r="GI22" s="128"/>
      <c r="GJ22" s="128"/>
      <c r="GK22" s="128"/>
      <c r="GL22" s="128"/>
      <c r="GM22" s="128"/>
      <c r="GN22" s="128"/>
      <c r="GO22" s="128"/>
      <c r="GP22" s="128"/>
      <c r="GQ22" s="128"/>
      <c r="GR22" s="128"/>
      <c r="GS22" s="128"/>
      <c r="GT22" s="128"/>
      <c r="GU22" s="128"/>
      <c r="GV22" s="128"/>
      <c r="GW22" s="128"/>
      <c r="GX22" s="128"/>
      <c r="GY22" s="128"/>
      <c r="GZ22" s="128"/>
      <c r="HA22" s="128"/>
      <c r="HB22" s="128"/>
      <c r="HC22" s="128"/>
      <c r="HD22" s="128"/>
      <c r="HE22" s="128"/>
      <c r="HF22" s="128"/>
      <c r="HG22" s="128"/>
      <c r="HH22" s="128"/>
      <c r="HI22" s="128"/>
      <c r="HJ22" s="128"/>
      <c r="HK22" s="128"/>
      <c r="HL22" s="128"/>
      <c r="HM22" s="128"/>
      <c r="HN22" s="128"/>
      <c r="HO22" s="128"/>
      <c r="HP22" s="128"/>
      <c r="HQ22" s="128"/>
      <c r="HR22" s="128"/>
      <c r="HS22" s="128"/>
      <c r="HT22" s="128"/>
      <c r="HU22" s="128"/>
      <c r="HV22" s="128"/>
      <c r="HW22" s="128"/>
      <c r="HX22" s="128"/>
      <c r="HY22" s="128"/>
      <c r="HZ22" s="128"/>
      <c r="IA22" s="128"/>
      <c r="IB22" s="128"/>
      <c r="IC22" s="128"/>
      <c r="ID22" s="128"/>
      <c r="IE22" s="128"/>
      <c r="IF22" s="128"/>
      <c r="IG22" s="128"/>
      <c r="IH22" s="128"/>
      <c r="II22" s="128"/>
      <c r="IJ22" s="128"/>
      <c r="IK22" s="128"/>
      <c r="IL22" s="128"/>
      <c r="IM22" s="128"/>
      <c r="IN22" s="128"/>
      <c r="IO22" s="128"/>
      <c r="IP22" s="128"/>
      <c r="IQ22" s="128"/>
      <c r="IR22" s="128"/>
      <c r="IS22" s="128"/>
      <c r="IT22" s="128"/>
      <c r="IU22" s="128"/>
    </row>
    <row r="23" ht="12.75" customHeight="1">
      <c r="A23" s="138">
        <v>15.0</v>
      </c>
      <c r="B23" s="143" t="s">
        <v>104</v>
      </c>
      <c r="C23" s="37"/>
      <c r="D23" s="37"/>
      <c r="E23" s="140">
        <v>333.0</v>
      </c>
      <c r="F23" s="141">
        <v>123.0</v>
      </c>
      <c r="G23" s="140">
        <v>343.0</v>
      </c>
      <c r="H23" s="145" t="str">
        <f>+F23*8%</f>
        <v>9.84</v>
      </c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8"/>
      <c r="DN23" s="128"/>
      <c r="DO23" s="128"/>
      <c r="DP23" s="128"/>
      <c r="DQ23" s="128"/>
      <c r="DR23" s="128"/>
      <c r="DS23" s="128"/>
      <c r="DT23" s="128"/>
      <c r="DU23" s="128"/>
      <c r="DV23" s="128"/>
      <c r="DW23" s="128"/>
      <c r="DX23" s="128"/>
      <c r="DY23" s="128"/>
      <c r="DZ23" s="128"/>
      <c r="EA23" s="128"/>
      <c r="EB23" s="128"/>
      <c r="EC23" s="128"/>
      <c r="ED23" s="128"/>
      <c r="EE23" s="128"/>
      <c r="EF23" s="128"/>
      <c r="EG23" s="128"/>
      <c r="EH23" s="128"/>
      <c r="EI23" s="128"/>
      <c r="EJ23" s="128"/>
      <c r="EK23" s="128"/>
      <c r="EL23" s="128"/>
      <c r="EM23" s="128"/>
      <c r="EN23" s="128"/>
      <c r="EO23" s="128"/>
      <c r="EP23" s="128"/>
      <c r="EQ23" s="128"/>
      <c r="ER23" s="128"/>
      <c r="ES23" s="128"/>
      <c r="ET23" s="128"/>
      <c r="EU23" s="128"/>
      <c r="EV23" s="128"/>
      <c r="EW23" s="128"/>
      <c r="EX23" s="128"/>
      <c r="EY23" s="128"/>
      <c r="EZ23" s="128"/>
      <c r="FA23" s="128"/>
      <c r="FB23" s="128"/>
      <c r="FC23" s="128"/>
      <c r="FD23" s="128"/>
      <c r="FE23" s="128"/>
      <c r="FF23" s="128"/>
      <c r="FG23" s="128"/>
      <c r="FH23" s="128"/>
      <c r="FI23" s="128"/>
      <c r="FJ23" s="128"/>
      <c r="FK23" s="128"/>
      <c r="FL23" s="128"/>
      <c r="FM23" s="128"/>
      <c r="FN23" s="128"/>
      <c r="FO23" s="128"/>
      <c r="FP23" s="128"/>
      <c r="FQ23" s="128"/>
      <c r="FR23" s="128"/>
      <c r="FS23" s="128"/>
      <c r="FT23" s="128"/>
      <c r="FU23" s="128"/>
      <c r="FV23" s="128"/>
      <c r="FW23" s="128"/>
      <c r="FX23" s="128"/>
      <c r="FY23" s="128"/>
      <c r="FZ23" s="128"/>
      <c r="GA23" s="128"/>
      <c r="GB23" s="128"/>
      <c r="GC23" s="128"/>
      <c r="GD23" s="128"/>
      <c r="GE23" s="128"/>
      <c r="GF23" s="128"/>
      <c r="GG23" s="128"/>
      <c r="GH23" s="128"/>
      <c r="GI23" s="128"/>
      <c r="GJ23" s="128"/>
      <c r="GK23" s="128"/>
      <c r="GL23" s="128"/>
      <c r="GM23" s="128"/>
      <c r="GN23" s="128"/>
      <c r="GO23" s="128"/>
      <c r="GP23" s="128"/>
      <c r="GQ23" s="128"/>
      <c r="GR23" s="128"/>
      <c r="GS23" s="128"/>
      <c r="GT23" s="128"/>
      <c r="GU23" s="128"/>
      <c r="GV23" s="128"/>
      <c r="GW23" s="128"/>
      <c r="GX23" s="128"/>
      <c r="GY23" s="128"/>
      <c r="GZ23" s="128"/>
      <c r="HA23" s="128"/>
      <c r="HB23" s="128"/>
      <c r="HC23" s="128"/>
      <c r="HD23" s="128"/>
      <c r="HE23" s="128"/>
      <c r="HF23" s="128"/>
      <c r="HG23" s="128"/>
      <c r="HH23" s="128"/>
      <c r="HI23" s="128"/>
      <c r="HJ23" s="128"/>
      <c r="HK23" s="128"/>
      <c r="HL23" s="128"/>
      <c r="HM23" s="128"/>
      <c r="HN23" s="128"/>
      <c r="HO23" s="128"/>
      <c r="HP23" s="128"/>
      <c r="HQ23" s="128"/>
      <c r="HR23" s="128"/>
      <c r="HS23" s="128"/>
      <c r="HT23" s="128"/>
      <c r="HU23" s="128"/>
      <c r="HV23" s="128"/>
      <c r="HW23" s="128"/>
      <c r="HX23" s="128"/>
      <c r="HY23" s="128"/>
      <c r="HZ23" s="128"/>
      <c r="IA23" s="128"/>
      <c r="IB23" s="128"/>
      <c r="IC23" s="128"/>
      <c r="ID23" s="128"/>
      <c r="IE23" s="128"/>
      <c r="IF23" s="128"/>
      <c r="IG23" s="128"/>
      <c r="IH23" s="128"/>
      <c r="II23" s="128"/>
      <c r="IJ23" s="128"/>
      <c r="IK23" s="128"/>
      <c r="IL23" s="128"/>
      <c r="IM23" s="128"/>
      <c r="IN23" s="128"/>
      <c r="IO23" s="128"/>
      <c r="IP23" s="128"/>
      <c r="IQ23" s="128"/>
      <c r="IR23" s="128"/>
      <c r="IS23" s="128"/>
      <c r="IT23" s="128"/>
      <c r="IU23" s="128"/>
    </row>
    <row r="24" ht="12.75" customHeight="1">
      <c r="A24" s="138">
        <v>16.0</v>
      </c>
      <c r="B24" s="144" t="s">
        <v>105</v>
      </c>
      <c r="C24" s="37"/>
      <c r="D24" s="37"/>
      <c r="E24" s="140">
        <v>35.0</v>
      </c>
      <c r="F24" s="141">
        <v>0.0</v>
      </c>
      <c r="G24" s="140">
        <v>36.0</v>
      </c>
      <c r="H24" s="145" t="str">
        <f>SUM(H21:H23)</f>
        <v>29.52</v>
      </c>
      <c r="I24" s="128"/>
      <c r="J24" s="146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28"/>
      <c r="CP24" s="128"/>
      <c r="CQ24" s="128"/>
      <c r="CR24" s="128"/>
      <c r="CS24" s="128"/>
      <c r="CT24" s="128"/>
      <c r="CU24" s="128"/>
      <c r="CV24" s="128"/>
      <c r="CW24" s="128"/>
      <c r="CX24" s="128"/>
      <c r="CY24" s="128"/>
      <c r="CZ24" s="128"/>
      <c r="DA24" s="128"/>
      <c r="DB24" s="128"/>
      <c r="DC24" s="128"/>
      <c r="DD24" s="128"/>
      <c r="DE24" s="128"/>
      <c r="DF24" s="128"/>
      <c r="DG24" s="128"/>
      <c r="DH24" s="128"/>
      <c r="DI24" s="128"/>
      <c r="DJ24" s="128"/>
      <c r="DK24" s="128"/>
      <c r="DL24" s="128"/>
      <c r="DM24" s="128"/>
      <c r="DN24" s="128"/>
      <c r="DO24" s="128"/>
      <c r="DP24" s="128"/>
      <c r="DQ24" s="128"/>
      <c r="DR24" s="128"/>
      <c r="DS24" s="128"/>
      <c r="DT24" s="128"/>
      <c r="DU24" s="128"/>
      <c r="DV24" s="128"/>
      <c r="DW24" s="128"/>
      <c r="DX24" s="128"/>
      <c r="DY24" s="128"/>
      <c r="DZ24" s="128"/>
      <c r="EA24" s="128"/>
      <c r="EB24" s="128"/>
      <c r="EC24" s="128"/>
      <c r="ED24" s="128"/>
      <c r="EE24" s="128"/>
      <c r="EF24" s="128"/>
      <c r="EG24" s="128"/>
      <c r="EH24" s="128"/>
      <c r="EI24" s="128"/>
      <c r="EJ24" s="128"/>
      <c r="EK24" s="128"/>
      <c r="EL24" s="128"/>
      <c r="EM24" s="128"/>
      <c r="EN24" s="128"/>
      <c r="EO24" s="128"/>
      <c r="EP24" s="128"/>
      <c r="EQ24" s="128"/>
      <c r="ER24" s="128"/>
      <c r="ES24" s="128"/>
      <c r="ET24" s="128"/>
      <c r="EU24" s="128"/>
      <c r="EV24" s="128"/>
      <c r="EW24" s="128"/>
      <c r="EX24" s="128"/>
      <c r="EY24" s="128"/>
      <c r="EZ24" s="128"/>
      <c r="FA24" s="128"/>
      <c r="FB24" s="128"/>
      <c r="FC24" s="128"/>
      <c r="FD24" s="128"/>
      <c r="FE24" s="128"/>
      <c r="FF24" s="128"/>
      <c r="FG24" s="128"/>
      <c r="FH24" s="128"/>
      <c r="FI24" s="128"/>
      <c r="FJ24" s="128"/>
      <c r="FK24" s="128"/>
      <c r="FL24" s="128"/>
      <c r="FM24" s="128"/>
      <c r="FN24" s="128"/>
      <c r="FO24" s="128"/>
      <c r="FP24" s="128"/>
      <c r="FQ24" s="128"/>
      <c r="FR24" s="128"/>
      <c r="FS24" s="128"/>
      <c r="FT24" s="128"/>
      <c r="FU24" s="128"/>
      <c r="FV24" s="128"/>
      <c r="FW24" s="128"/>
      <c r="FX24" s="128"/>
      <c r="FY24" s="128"/>
      <c r="FZ24" s="128"/>
      <c r="GA24" s="128"/>
      <c r="GB24" s="128"/>
      <c r="GC24" s="128"/>
      <c r="GD24" s="128"/>
      <c r="GE24" s="128"/>
      <c r="GF24" s="128"/>
      <c r="GG24" s="128"/>
      <c r="GH24" s="128"/>
      <c r="GI24" s="128"/>
      <c r="GJ24" s="128"/>
      <c r="GK24" s="128"/>
      <c r="GL24" s="128"/>
      <c r="GM24" s="128"/>
      <c r="GN24" s="128"/>
      <c r="GO24" s="128"/>
      <c r="GP24" s="128"/>
      <c r="GQ24" s="128"/>
      <c r="GR24" s="128"/>
      <c r="GS24" s="128"/>
      <c r="GT24" s="128"/>
      <c r="GU24" s="128"/>
      <c r="GV24" s="128"/>
      <c r="GW24" s="128"/>
      <c r="GX24" s="128"/>
      <c r="GY24" s="128"/>
      <c r="GZ24" s="128"/>
      <c r="HA24" s="128"/>
      <c r="HB24" s="128"/>
      <c r="HC24" s="128"/>
      <c r="HD24" s="128"/>
      <c r="HE24" s="128"/>
      <c r="HF24" s="128"/>
      <c r="HG24" s="128"/>
      <c r="HH24" s="128"/>
      <c r="HI24" s="128"/>
      <c r="HJ24" s="128"/>
      <c r="HK24" s="128"/>
      <c r="HL24" s="128"/>
      <c r="HM24" s="128"/>
      <c r="HN24" s="128"/>
      <c r="HO24" s="128"/>
      <c r="HP24" s="128"/>
      <c r="HQ24" s="128"/>
      <c r="HR24" s="128"/>
      <c r="HS24" s="128"/>
      <c r="HT24" s="128"/>
      <c r="HU24" s="128"/>
      <c r="HV24" s="128"/>
      <c r="HW24" s="128"/>
      <c r="HX24" s="128"/>
      <c r="HY24" s="128"/>
      <c r="HZ24" s="128"/>
      <c r="IA24" s="128"/>
      <c r="IB24" s="128"/>
      <c r="IC24" s="128"/>
      <c r="ID24" s="128"/>
      <c r="IE24" s="128"/>
      <c r="IF24" s="128"/>
      <c r="IG24" s="128"/>
      <c r="IH24" s="128"/>
      <c r="II24" s="128"/>
      <c r="IJ24" s="128"/>
      <c r="IK24" s="128"/>
      <c r="IL24" s="128"/>
      <c r="IM24" s="128"/>
      <c r="IN24" s="128"/>
      <c r="IO24" s="128"/>
      <c r="IP24" s="128"/>
      <c r="IQ24" s="128"/>
      <c r="IR24" s="128"/>
      <c r="IS24" s="128"/>
      <c r="IT24" s="128"/>
      <c r="IU24" s="128"/>
    </row>
    <row r="25" ht="12.75" customHeight="1">
      <c r="A25" s="138">
        <v>18.0</v>
      </c>
      <c r="B25" s="143" t="s">
        <v>106</v>
      </c>
      <c r="C25" s="37"/>
      <c r="D25" s="37"/>
      <c r="E25" s="140"/>
      <c r="F25" s="141">
        <v>0.0</v>
      </c>
      <c r="G25" s="140">
        <v>70.0</v>
      </c>
      <c r="H25" s="145" t="str">
        <f>H18+H19+H20+H21+H22+H23</f>
        <v>29.52</v>
      </c>
      <c r="I25" s="128"/>
      <c r="J25" s="146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  <c r="CJ25" s="128"/>
      <c r="CK25" s="128"/>
      <c r="CL25" s="128"/>
      <c r="CM25" s="128"/>
      <c r="CN25" s="128"/>
      <c r="CO25" s="128"/>
      <c r="CP25" s="128"/>
      <c r="CQ25" s="128"/>
      <c r="CR25" s="128"/>
      <c r="CS25" s="128"/>
      <c r="CT25" s="128"/>
      <c r="CU25" s="128"/>
      <c r="CV25" s="128"/>
      <c r="CW25" s="128"/>
      <c r="CX25" s="128"/>
      <c r="CY25" s="128"/>
      <c r="CZ25" s="128"/>
      <c r="DA25" s="128"/>
      <c r="DB25" s="128"/>
      <c r="DC25" s="128"/>
      <c r="DD25" s="128"/>
      <c r="DE25" s="128"/>
      <c r="DF25" s="128"/>
      <c r="DG25" s="128"/>
      <c r="DH25" s="128"/>
      <c r="DI25" s="128"/>
      <c r="DJ25" s="128"/>
      <c r="DK25" s="128"/>
      <c r="DL25" s="128"/>
      <c r="DM25" s="128"/>
      <c r="DN25" s="128"/>
      <c r="DO25" s="128"/>
      <c r="DP25" s="128"/>
      <c r="DQ25" s="128"/>
      <c r="DR25" s="128"/>
      <c r="DS25" s="128"/>
      <c r="DT25" s="128"/>
      <c r="DU25" s="128"/>
      <c r="DV25" s="128"/>
      <c r="DW25" s="128"/>
      <c r="DX25" s="128"/>
      <c r="DY25" s="128"/>
      <c r="DZ25" s="128"/>
      <c r="EA25" s="128"/>
      <c r="EB25" s="128"/>
      <c r="EC25" s="128"/>
      <c r="ED25" s="128"/>
      <c r="EE25" s="128"/>
      <c r="EF25" s="128"/>
      <c r="EG25" s="128"/>
      <c r="EH25" s="128"/>
      <c r="EI25" s="128"/>
      <c r="EJ25" s="128"/>
      <c r="EK25" s="128"/>
      <c r="EL25" s="128"/>
      <c r="EM25" s="128"/>
      <c r="EN25" s="128"/>
      <c r="EO25" s="128"/>
      <c r="EP25" s="128"/>
      <c r="EQ25" s="128"/>
      <c r="ER25" s="128"/>
      <c r="ES25" s="128"/>
      <c r="ET25" s="128"/>
      <c r="EU25" s="128"/>
      <c r="EV25" s="128"/>
      <c r="EW25" s="128"/>
      <c r="EX25" s="128"/>
      <c r="EY25" s="128"/>
      <c r="EZ25" s="128"/>
      <c r="FA25" s="128"/>
      <c r="FB25" s="128"/>
      <c r="FC25" s="128"/>
      <c r="FD25" s="128"/>
      <c r="FE25" s="128"/>
      <c r="FF25" s="128"/>
      <c r="FG25" s="128"/>
      <c r="FH25" s="128"/>
      <c r="FI25" s="128"/>
      <c r="FJ25" s="128"/>
      <c r="FK25" s="128"/>
      <c r="FL25" s="128"/>
      <c r="FM25" s="128"/>
      <c r="FN25" s="128"/>
      <c r="FO25" s="128"/>
      <c r="FP25" s="128"/>
      <c r="FQ25" s="128"/>
      <c r="FR25" s="128"/>
      <c r="FS25" s="128"/>
      <c r="FT25" s="128"/>
      <c r="FU25" s="128"/>
      <c r="FV25" s="128"/>
      <c r="FW25" s="128"/>
      <c r="FX25" s="128"/>
      <c r="FY25" s="128"/>
      <c r="FZ25" s="128"/>
      <c r="GA25" s="128"/>
      <c r="GB25" s="128"/>
      <c r="GC25" s="128"/>
      <c r="GD25" s="128"/>
      <c r="GE25" s="128"/>
      <c r="GF25" s="128"/>
      <c r="GG25" s="128"/>
      <c r="GH25" s="128"/>
      <c r="GI25" s="128"/>
      <c r="GJ25" s="128"/>
      <c r="GK25" s="128"/>
      <c r="GL25" s="128"/>
      <c r="GM25" s="128"/>
      <c r="GN25" s="128"/>
      <c r="GO25" s="128"/>
      <c r="GP25" s="128"/>
      <c r="GQ25" s="128"/>
      <c r="GR25" s="128"/>
      <c r="GS25" s="128"/>
      <c r="GT25" s="128"/>
      <c r="GU25" s="128"/>
      <c r="GV25" s="128"/>
      <c r="GW25" s="128"/>
      <c r="GX25" s="128"/>
      <c r="GY25" s="128"/>
      <c r="GZ25" s="128"/>
      <c r="HA25" s="128"/>
      <c r="HB25" s="128"/>
      <c r="HC25" s="128"/>
      <c r="HD25" s="128"/>
      <c r="HE25" s="128"/>
      <c r="HF25" s="128"/>
      <c r="HG25" s="128"/>
      <c r="HH25" s="128"/>
      <c r="HI25" s="128"/>
      <c r="HJ25" s="128"/>
      <c r="HK25" s="128"/>
      <c r="HL25" s="128"/>
      <c r="HM25" s="128"/>
      <c r="HN25" s="128"/>
      <c r="HO25" s="128"/>
      <c r="HP25" s="128"/>
      <c r="HQ25" s="128"/>
      <c r="HR25" s="128"/>
      <c r="HS25" s="128"/>
      <c r="HT25" s="128"/>
      <c r="HU25" s="128"/>
      <c r="HV25" s="128"/>
      <c r="HW25" s="128"/>
      <c r="HX25" s="128"/>
      <c r="HY25" s="128"/>
      <c r="HZ25" s="128"/>
      <c r="IA25" s="128"/>
      <c r="IB25" s="128"/>
      <c r="IC25" s="128"/>
      <c r="ID25" s="128"/>
      <c r="IE25" s="128"/>
      <c r="IF25" s="128"/>
      <c r="IG25" s="128"/>
      <c r="IH25" s="128"/>
      <c r="II25" s="128"/>
      <c r="IJ25" s="128"/>
      <c r="IK25" s="128"/>
      <c r="IL25" s="128"/>
      <c r="IM25" s="128"/>
      <c r="IN25" s="128"/>
      <c r="IO25" s="128"/>
      <c r="IP25" s="128"/>
      <c r="IQ25" s="128"/>
      <c r="IR25" s="128"/>
      <c r="IS25" s="128"/>
      <c r="IT25" s="128"/>
      <c r="IU25" s="128"/>
    </row>
    <row r="26" ht="12.75" customHeight="1">
      <c r="A26" s="138">
        <v>19.0</v>
      </c>
      <c r="B26" s="143" t="s">
        <v>107</v>
      </c>
      <c r="C26" s="37"/>
      <c r="D26" s="37"/>
      <c r="E26" s="140"/>
      <c r="F26" s="141">
        <v>0.0</v>
      </c>
      <c r="G26" s="140">
        <v>37.0</v>
      </c>
      <c r="H26" s="145">
        <v>0.0</v>
      </c>
      <c r="I26" s="128"/>
      <c r="J26" s="146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8"/>
      <c r="EA26" s="128"/>
      <c r="EB26" s="128"/>
      <c r="EC26" s="128"/>
      <c r="ED26" s="128"/>
      <c r="EE26" s="128"/>
      <c r="EF26" s="128"/>
      <c r="EG26" s="128"/>
      <c r="EH26" s="128"/>
      <c r="EI26" s="128"/>
      <c r="EJ26" s="128"/>
      <c r="EK26" s="128"/>
      <c r="EL26" s="128"/>
      <c r="EM26" s="128"/>
      <c r="EN26" s="128"/>
      <c r="EO26" s="128"/>
      <c r="EP26" s="128"/>
      <c r="EQ26" s="128"/>
      <c r="ER26" s="128"/>
      <c r="ES26" s="128"/>
      <c r="ET26" s="128"/>
      <c r="EU26" s="128"/>
      <c r="EV26" s="128"/>
      <c r="EW26" s="128"/>
      <c r="EX26" s="128"/>
      <c r="EY26" s="128"/>
      <c r="EZ26" s="128"/>
      <c r="FA26" s="128"/>
      <c r="FB26" s="128"/>
      <c r="FC26" s="128"/>
      <c r="FD26" s="128"/>
      <c r="FE26" s="128"/>
      <c r="FF26" s="128"/>
      <c r="FG26" s="128"/>
      <c r="FH26" s="128"/>
      <c r="FI26" s="128"/>
      <c r="FJ26" s="128"/>
      <c r="FK26" s="128"/>
      <c r="FL26" s="128"/>
      <c r="FM26" s="128"/>
      <c r="FN26" s="128"/>
      <c r="FO26" s="128"/>
      <c r="FP26" s="128"/>
      <c r="FQ26" s="128"/>
      <c r="FR26" s="128"/>
      <c r="FS26" s="128"/>
      <c r="FT26" s="128"/>
      <c r="FU26" s="128"/>
      <c r="FV26" s="128"/>
      <c r="FW26" s="128"/>
      <c r="FX26" s="128"/>
      <c r="FY26" s="128"/>
      <c r="FZ26" s="128"/>
      <c r="GA26" s="128"/>
      <c r="GB26" s="128"/>
      <c r="GC26" s="128"/>
      <c r="GD26" s="128"/>
      <c r="GE26" s="128"/>
      <c r="GF26" s="128"/>
      <c r="GG26" s="128"/>
      <c r="GH26" s="128"/>
      <c r="GI26" s="128"/>
      <c r="GJ26" s="128"/>
      <c r="GK26" s="128"/>
      <c r="GL26" s="128"/>
      <c r="GM26" s="128"/>
      <c r="GN26" s="128"/>
      <c r="GO26" s="128"/>
      <c r="GP26" s="128"/>
      <c r="GQ26" s="128"/>
      <c r="GR26" s="128"/>
      <c r="GS26" s="128"/>
      <c r="GT26" s="128"/>
      <c r="GU26" s="128"/>
      <c r="GV26" s="128"/>
      <c r="GW26" s="128"/>
      <c r="GX26" s="128"/>
      <c r="GY26" s="128"/>
      <c r="GZ26" s="128"/>
      <c r="HA26" s="128"/>
      <c r="HB26" s="128"/>
      <c r="HC26" s="128"/>
      <c r="HD26" s="128"/>
      <c r="HE26" s="128"/>
      <c r="HF26" s="128"/>
      <c r="HG26" s="128"/>
      <c r="HH26" s="128"/>
      <c r="HI26" s="128"/>
      <c r="HJ26" s="128"/>
      <c r="HK26" s="128"/>
      <c r="HL26" s="128"/>
      <c r="HM26" s="128"/>
      <c r="HN26" s="128"/>
      <c r="HO26" s="128"/>
      <c r="HP26" s="128"/>
      <c r="HQ26" s="128"/>
      <c r="HR26" s="128"/>
      <c r="HS26" s="128"/>
      <c r="HT26" s="128"/>
      <c r="HU26" s="128"/>
      <c r="HV26" s="128"/>
      <c r="HW26" s="128"/>
      <c r="HX26" s="128"/>
      <c r="HY26" s="128"/>
      <c r="HZ26" s="128"/>
      <c r="IA26" s="128"/>
      <c r="IB26" s="128"/>
      <c r="IC26" s="128"/>
      <c r="ID26" s="128"/>
      <c r="IE26" s="128"/>
      <c r="IF26" s="128"/>
      <c r="IG26" s="128"/>
      <c r="IH26" s="128"/>
      <c r="II26" s="128"/>
      <c r="IJ26" s="128"/>
      <c r="IK26" s="128"/>
      <c r="IL26" s="128"/>
      <c r="IM26" s="128"/>
      <c r="IN26" s="128"/>
      <c r="IO26" s="128"/>
      <c r="IP26" s="128"/>
      <c r="IQ26" s="128"/>
      <c r="IR26" s="128"/>
      <c r="IS26" s="128"/>
      <c r="IT26" s="128"/>
      <c r="IU26" s="128"/>
    </row>
    <row r="27" ht="12.75" customHeight="1">
      <c r="A27" s="138">
        <v>20.0</v>
      </c>
      <c r="B27" s="143" t="s">
        <v>108</v>
      </c>
      <c r="C27" s="37"/>
      <c r="D27" s="37"/>
      <c r="E27" s="140"/>
      <c r="F27" s="141">
        <v>0.0</v>
      </c>
      <c r="G27" s="140">
        <v>71.0</v>
      </c>
      <c r="H27" s="145" t="str">
        <f>H25+H26</f>
        <v>29.52</v>
      </c>
      <c r="I27" s="128"/>
      <c r="J27" s="146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28"/>
      <c r="DH27" s="128"/>
      <c r="DI27" s="128"/>
      <c r="DJ27" s="128"/>
      <c r="DK27" s="128"/>
      <c r="DL27" s="128"/>
      <c r="DM27" s="128"/>
      <c r="DN27" s="128"/>
      <c r="DO27" s="128"/>
      <c r="DP27" s="128"/>
      <c r="DQ27" s="128"/>
      <c r="DR27" s="128"/>
      <c r="DS27" s="128"/>
      <c r="DT27" s="128"/>
      <c r="DU27" s="128"/>
      <c r="DV27" s="128"/>
      <c r="DW27" s="128"/>
      <c r="DX27" s="128"/>
      <c r="DY27" s="128"/>
      <c r="DZ27" s="128"/>
      <c r="EA27" s="128"/>
      <c r="EB27" s="128"/>
      <c r="EC27" s="128"/>
      <c r="ED27" s="128"/>
      <c r="EE27" s="128"/>
      <c r="EF27" s="128"/>
      <c r="EG27" s="128"/>
      <c r="EH27" s="128"/>
      <c r="EI27" s="128"/>
      <c r="EJ27" s="128"/>
      <c r="EK27" s="128"/>
      <c r="EL27" s="128"/>
      <c r="EM27" s="128"/>
      <c r="EN27" s="128"/>
      <c r="EO27" s="128"/>
      <c r="EP27" s="128"/>
      <c r="EQ27" s="128"/>
      <c r="ER27" s="128"/>
      <c r="ES27" s="128"/>
      <c r="ET27" s="128"/>
      <c r="EU27" s="128"/>
      <c r="EV27" s="128"/>
      <c r="EW27" s="128"/>
      <c r="EX27" s="128"/>
      <c r="EY27" s="128"/>
      <c r="EZ27" s="128"/>
      <c r="FA27" s="128"/>
      <c r="FB27" s="128"/>
      <c r="FC27" s="128"/>
      <c r="FD27" s="128"/>
      <c r="FE27" s="128"/>
      <c r="FF27" s="128"/>
      <c r="FG27" s="128"/>
      <c r="FH27" s="128"/>
      <c r="FI27" s="128"/>
      <c r="FJ27" s="128"/>
      <c r="FK27" s="128"/>
      <c r="FL27" s="128"/>
      <c r="FM27" s="128"/>
      <c r="FN27" s="128"/>
      <c r="FO27" s="128"/>
      <c r="FP27" s="128"/>
      <c r="FQ27" s="128"/>
      <c r="FR27" s="128"/>
      <c r="FS27" s="128"/>
      <c r="FT27" s="128"/>
      <c r="FU27" s="128"/>
      <c r="FV27" s="128"/>
      <c r="FW27" s="128"/>
      <c r="FX27" s="128"/>
      <c r="FY27" s="128"/>
      <c r="FZ27" s="128"/>
      <c r="GA27" s="128"/>
      <c r="GB27" s="128"/>
      <c r="GC27" s="128"/>
      <c r="GD27" s="128"/>
      <c r="GE27" s="128"/>
      <c r="GF27" s="128"/>
      <c r="GG27" s="128"/>
      <c r="GH27" s="128"/>
      <c r="GI27" s="128"/>
      <c r="GJ27" s="128"/>
      <c r="GK27" s="128"/>
      <c r="GL27" s="128"/>
      <c r="GM27" s="128"/>
      <c r="GN27" s="128"/>
      <c r="GO27" s="128"/>
      <c r="GP27" s="128"/>
      <c r="GQ27" s="128"/>
      <c r="GR27" s="128"/>
      <c r="GS27" s="128"/>
      <c r="GT27" s="128"/>
      <c r="GU27" s="128"/>
      <c r="GV27" s="128"/>
      <c r="GW27" s="128"/>
      <c r="GX27" s="128"/>
      <c r="GY27" s="128"/>
      <c r="GZ27" s="128"/>
      <c r="HA27" s="128"/>
      <c r="HB27" s="128"/>
      <c r="HC27" s="128"/>
      <c r="HD27" s="128"/>
      <c r="HE27" s="128"/>
      <c r="HF27" s="128"/>
      <c r="HG27" s="128"/>
      <c r="HH27" s="128"/>
      <c r="HI27" s="128"/>
      <c r="HJ27" s="128"/>
      <c r="HK27" s="128"/>
      <c r="HL27" s="128"/>
      <c r="HM27" s="128"/>
      <c r="HN27" s="128"/>
      <c r="HO27" s="128"/>
      <c r="HP27" s="128"/>
      <c r="HQ27" s="128"/>
      <c r="HR27" s="128"/>
      <c r="HS27" s="128"/>
      <c r="HT27" s="128"/>
      <c r="HU27" s="128"/>
      <c r="HV27" s="128"/>
      <c r="HW27" s="128"/>
      <c r="HX27" s="128"/>
      <c r="HY27" s="128"/>
      <c r="HZ27" s="128"/>
      <c r="IA27" s="128"/>
      <c r="IB27" s="128"/>
      <c r="IC27" s="128"/>
      <c r="ID27" s="128"/>
      <c r="IE27" s="128"/>
      <c r="IF27" s="128"/>
      <c r="IG27" s="128"/>
      <c r="IH27" s="128"/>
      <c r="II27" s="128"/>
      <c r="IJ27" s="128"/>
      <c r="IK27" s="128"/>
      <c r="IL27" s="128"/>
      <c r="IM27" s="128"/>
      <c r="IN27" s="128"/>
      <c r="IO27" s="128"/>
      <c r="IP27" s="128"/>
      <c r="IQ27" s="128"/>
      <c r="IR27" s="128"/>
      <c r="IS27" s="128"/>
      <c r="IT27" s="128"/>
      <c r="IU27" s="128"/>
    </row>
    <row r="28" ht="12.75" customHeight="1">
      <c r="A28" s="138">
        <v>21.0</v>
      </c>
      <c r="B28" s="143" t="s">
        <v>109</v>
      </c>
      <c r="C28" s="37"/>
      <c r="D28" s="37"/>
      <c r="E28" s="140"/>
      <c r="F28" s="141">
        <v>0.0</v>
      </c>
      <c r="G28" s="140">
        <v>20.0</v>
      </c>
      <c r="H28" s="145">
        <v>0.0</v>
      </c>
      <c r="I28" s="128"/>
      <c r="J28" s="146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28"/>
      <c r="CI28" s="128"/>
      <c r="CJ28" s="128"/>
      <c r="CK28" s="128"/>
      <c r="CL28" s="128"/>
      <c r="CM28" s="128"/>
      <c r="CN28" s="128"/>
      <c r="CO28" s="128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8"/>
      <c r="DB28" s="128"/>
      <c r="DC28" s="128"/>
      <c r="DD28" s="128"/>
      <c r="DE28" s="128"/>
      <c r="DF28" s="128"/>
      <c r="DG28" s="128"/>
      <c r="DH28" s="128"/>
      <c r="DI28" s="128"/>
      <c r="DJ28" s="128"/>
      <c r="DK28" s="128"/>
      <c r="DL28" s="128"/>
      <c r="DM28" s="128"/>
      <c r="DN28" s="128"/>
      <c r="DO28" s="128"/>
      <c r="DP28" s="128"/>
      <c r="DQ28" s="128"/>
      <c r="DR28" s="128"/>
      <c r="DS28" s="128"/>
      <c r="DT28" s="128"/>
      <c r="DU28" s="128"/>
      <c r="DV28" s="128"/>
      <c r="DW28" s="128"/>
      <c r="DX28" s="128"/>
      <c r="DY28" s="128"/>
      <c r="DZ28" s="128"/>
      <c r="EA28" s="128"/>
      <c r="EB28" s="128"/>
      <c r="EC28" s="128"/>
      <c r="ED28" s="128"/>
      <c r="EE28" s="128"/>
      <c r="EF28" s="128"/>
      <c r="EG28" s="128"/>
      <c r="EH28" s="128"/>
      <c r="EI28" s="128"/>
      <c r="EJ28" s="128"/>
      <c r="EK28" s="128"/>
      <c r="EL28" s="128"/>
      <c r="EM28" s="128"/>
      <c r="EN28" s="128"/>
      <c r="EO28" s="128"/>
      <c r="EP28" s="128"/>
      <c r="EQ28" s="128"/>
      <c r="ER28" s="128"/>
      <c r="ES28" s="128"/>
      <c r="ET28" s="128"/>
      <c r="EU28" s="128"/>
      <c r="EV28" s="128"/>
      <c r="EW28" s="128"/>
      <c r="EX28" s="128"/>
      <c r="EY28" s="128"/>
      <c r="EZ28" s="128"/>
      <c r="FA28" s="128"/>
      <c r="FB28" s="128"/>
      <c r="FC28" s="128"/>
      <c r="FD28" s="128"/>
      <c r="FE28" s="128"/>
      <c r="FF28" s="128"/>
      <c r="FG28" s="128"/>
      <c r="FH28" s="128"/>
      <c r="FI28" s="128"/>
      <c r="FJ28" s="128"/>
      <c r="FK28" s="128"/>
      <c r="FL28" s="128"/>
      <c r="FM28" s="128"/>
      <c r="FN28" s="128"/>
      <c r="FO28" s="128"/>
      <c r="FP28" s="128"/>
      <c r="FQ28" s="128"/>
      <c r="FR28" s="128"/>
      <c r="FS28" s="128"/>
      <c r="FT28" s="128"/>
      <c r="FU28" s="128"/>
      <c r="FV28" s="128"/>
      <c r="FW28" s="128"/>
      <c r="FX28" s="128"/>
      <c r="FY28" s="128"/>
      <c r="FZ28" s="128"/>
      <c r="GA28" s="128"/>
      <c r="GB28" s="128"/>
      <c r="GC28" s="128"/>
      <c r="GD28" s="128"/>
      <c r="GE28" s="128"/>
      <c r="GF28" s="128"/>
      <c r="GG28" s="128"/>
      <c r="GH28" s="128"/>
      <c r="GI28" s="128"/>
      <c r="GJ28" s="128"/>
      <c r="GK28" s="128"/>
      <c r="GL28" s="128"/>
      <c r="GM28" s="128"/>
      <c r="GN28" s="128"/>
      <c r="GO28" s="128"/>
      <c r="GP28" s="128"/>
      <c r="GQ28" s="128"/>
      <c r="GR28" s="128"/>
      <c r="GS28" s="128"/>
      <c r="GT28" s="128"/>
      <c r="GU28" s="128"/>
      <c r="GV28" s="128"/>
      <c r="GW28" s="128"/>
      <c r="GX28" s="128"/>
      <c r="GY28" s="128"/>
      <c r="GZ28" s="128"/>
      <c r="HA28" s="128"/>
      <c r="HB28" s="128"/>
      <c r="HC28" s="128"/>
      <c r="HD28" s="128"/>
      <c r="HE28" s="128"/>
      <c r="HF28" s="128"/>
      <c r="HG28" s="128"/>
      <c r="HH28" s="128"/>
      <c r="HI28" s="128"/>
      <c r="HJ28" s="128"/>
      <c r="HK28" s="128"/>
      <c r="HL28" s="128"/>
      <c r="HM28" s="128"/>
      <c r="HN28" s="128"/>
      <c r="HO28" s="128"/>
      <c r="HP28" s="128"/>
      <c r="HQ28" s="128"/>
      <c r="HR28" s="128"/>
      <c r="HS28" s="128"/>
      <c r="HT28" s="128"/>
      <c r="HU28" s="128"/>
      <c r="HV28" s="128"/>
      <c r="HW28" s="128"/>
      <c r="HX28" s="128"/>
      <c r="HY28" s="128"/>
      <c r="HZ28" s="128"/>
      <c r="IA28" s="128"/>
      <c r="IB28" s="128"/>
      <c r="IC28" s="128"/>
      <c r="ID28" s="128"/>
      <c r="IE28" s="128"/>
      <c r="IF28" s="128"/>
      <c r="IG28" s="128"/>
      <c r="IH28" s="128"/>
      <c r="II28" s="128"/>
      <c r="IJ28" s="128"/>
      <c r="IK28" s="128"/>
      <c r="IL28" s="128"/>
      <c r="IM28" s="128"/>
      <c r="IN28" s="128"/>
      <c r="IO28" s="128"/>
      <c r="IP28" s="128"/>
      <c r="IQ28" s="128"/>
      <c r="IR28" s="128"/>
      <c r="IS28" s="128"/>
      <c r="IT28" s="128"/>
      <c r="IU28" s="128"/>
    </row>
    <row r="29" ht="12.75" customHeight="1">
      <c r="A29" s="138">
        <v>24.0</v>
      </c>
      <c r="B29" s="143" t="s">
        <v>110</v>
      </c>
      <c r="C29" s="37"/>
      <c r="D29" s="37"/>
      <c r="E29" s="140"/>
      <c r="F29" s="141">
        <v>0.0</v>
      </c>
      <c r="G29" s="140">
        <v>38.0</v>
      </c>
      <c r="H29" s="142">
        <v>0.0</v>
      </c>
      <c r="I29" s="128"/>
      <c r="J29" s="146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28"/>
      <c r="DJ29" s="128"/>
      <c r="DK29" s="128"/>
      <c r="DL29" s="128"/>
      <c r="DM29" s="128"/>
      <c r="DN29" s="128"/>
      <c r="DO29" s="128"/>
      <c r="DP29" s="128"/>
      <c r="DQ29" s="128"/>
      <c r="DR29" s="128"/>
      <c r="DS29" s="128"/>
      <c r="DT29" s="128"/>
      <c r="DU29" s="128"/>
      <c r="DV29" s="128"/>
      <c r="DW29" s="128"/>
      <c r="DX29" s="128"/>
      <c r="DY29" s="128"/>
      <c r="DZ29" s="128"/>
      <c r="EA29" s="128"/>
      <c r="EB29" s="128"/>
      <c r="EC29" s="128"/>
      <c r="ED29" s="128"/>
      <c r="EE29" s="128"/>
      <c r="EF29" s="128"/>
      <c r="EG29" s="128"/>
      <c r="EH29" s="128"/>
      <c r="EI29" s="128"/>
      <c r="EJ29" s="128"/>
      <c r="EK29" s="128"/>
      <c r="EL29" s="128"/>
      <c r="EM29" s="128"/>
      <c r="EN29" s="128"/>
      <c r="EO29" s="128"/>
      <c r="EP29" s="128"/>
      <c r="EQ29" s="128"/>
      <c r="ER29" s="128"/>
      <c r="ES29" s="128"/>
      <c r="ET29" s="128"/>
      <c r="EU29" s="128"/>
      <c r="EV29" s="128"/>
      <c r="EW29" s="128"/>
      <c r="EX29" s="128"/>
      <c r="EY29" s="128"/>
      <c r="EZ29" s="128"/>
      <c r="FA29" s="128"/>
      <c r="FB29" s="128"/>
      <c r="FC29" s="128"/>
      <c r="FD29" s="128"/>
      <c r="FE29" s="128"/>
      <c r="FF29" s="128"/>
      <c r="FG29" s="128"/>
      <c r="FH29" s="128"/>
      <c r="FI29" s="128"/>
      <c r="FJ29" s="128"/>
      <c r="FK29" s="128"/>
      <c r="FL29" s="128"/>
      <c r="FM29" s="128"/>
      <c r="FN29" s="128"/>
      <c r="FO29" s="128"/>
      <c r="FP29" s="128"/>
      <c r="FQ29" s="128"/>
      <c r="FR29" s="128"/>
      <c r="FS29" s="128"/>
      <c r="FT29" s="128"/>
      <c r="FU29" s="128"/>
      <c r="FV29" s="128"/>
      <c r="FW29" s="128"/>
      <c r="FX29" s="128"/>
      <c r="FY29" s="128"/>
      <c r="FZ29" s="128"/>
      <c r="GA29" s="128"/>
      <c r="GB29" s="128"/>
      <c r="GC29" s="128"/>
      <c r="GD29" s="128"/>
      <c r="GE29" s="128"/>
      <c r="GF29" s="128"/>
      <c r="GG29" s="128"/>
      <c r="GH29" s="128"/>
      <c r="GI29" s="128"/>
      <c r="GJ29" s="128"/>
      <c r="GK29" s="128"/>
      <c r="GL29" s="128"/>
      <c r="GM29" s="128"/>
      <c r="GN29" s="128"/>
      <c r="GO29" s="128"/>
      <c r="GP29" s="128"/>
      <c r="GQ29" s="128"/>
      <c r="GR29" s="128"/>
      <c r="GS29" s="128"/>
      <c r="GT29" s="128"/>
      <c r="GU29" s="128"/>
      <c r="GV29" s="128"/>
      <c r="GW29" s="128"/>
      <c r="GX29" s="128"/>
      <c r="GY29" s="128"/>
      <c r="GZ29" s="128"/>
      <c r="HA29" s="128"/>
      <c r="HB29" s="128"/>
      <c r="HC29" s="128"/>
      <c r="HD29" s="128"/>
      <c r="HE29" s="128"/>
      <c r="HF29" s="128"/>
      <c r="HG29" s="128"/>
      <c r="HH29" s="128"/>
      <c r="HI29" s="128"/>
      <c r="HJ29" s="128"/>
      <c r="HK29" s="128"/>
      <c r="HL29" s="128"/>
      <c r="HM29" s="128"/>
      <c r="HN29" s="128"/>
      <c r="HO29" s="128"/>
      <c r="HP29" s="128"/>
      <c r="HQ29" s="128"/>
      <c r="HR29" s="128"/>
      <c r="HS29" s="128"/>
      <c r="HT29" s="128"/>
      <c r="HU29" s="128"/>
      <c r="HV29" s="128"/>
      <c r="HW29" s="128"/>
      <c r="HX29" s="128"/>
      <c r="HY29" s="128"/>
      <c r="HZ29" s="128"/>
      <c r="IA29" s="128"/>
      <c r="IB29" s="128"/>
      <c r="IC29" s="128"/>
      <c r="ID29" s="128"/>
      <c r="IE29" s="128"/>
      <c r="IF29" s="128"/>
      <c r="IG29" s="128"/>
      <c r="IH29" s="128"/>
      <c r="II29" s="128"/>
      <c r="IJ29" s="128"/>
      <c r="IK29" s="128"/>
      <c r="IL29" s="128"/>
      <c r="IM29" s="128"/>
      <c r="IN29" s="128"/>
      <c r="IO29" s="128"/>
      <c r="IP29" s="128"/>
      <c r="IQ29" s="128"/>
      <c r="IR29" s="128"/>
      <c r="IS29" s="128"/>
      <c r="IT29" s="128"/>
      <c r="IU29" s="128"/>
    </row>
    <row r="30" ht="12.75" customHeight="1">
      <c r="A30" s="138">
        <v>26.0</v>
      </c>
      <c r="B30" s="144" t="s">
        <v>111</v>
      </c>
      <c r="C30" s="37"/>
      <c r="D30" s="37"/>
      <c r="E30" s="140"/>
      <c r="F30" s="141"/>
      <c r="G30" s="140">
        <v>39.0</v>
      </c>
      <c r="H30" s="142" t="str">
        <f>H27+H28+H29</f>
        <v>29.52</v>
      </c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28"/>
      <c r="HX30" s="128"/>
      <c r="HY30" s="128"/>
      <c r="HZ30" s="128"/>
      <c r="IA30" s="128"/>
      <c r="IB30" s="128"/>
      <c r="IC30" s="128"/>
      <c r="ID30" s="128"/>
      <c r="IE30" s="128"/>
      <c r="IF30" s="128"/>
      <c r="IG30" s="128"/>
      <c r="IH30" s="128"/>
      <c r="II30" s="128"/>
      <c r="IJ30" s="128"/>
      <c r="IK30" s="128"/>
      <c r="IL30" s="128"/>
      <c r="IM30" s="128"/>
      <c r="IN30" s="128"/>
      <c r="IO30" s="128"/>
      <c r="IP30" s="128"/>
      <c r="IQ30" s="128"/>
      <c r="IR30" s="128"/>
      <c r="IS30" s="128"/>
      <c r="IT30" s="128"/>
      <c r="IU30" s="128"/>
    </row>
    <row r="31" ht="12.75" customHeight="1">
      <c r="A31" s="138">
        <v>27.0</v>
      </c>
      <c r="B31" s="144" t="s">
        <v>112</v>
      </c>
      <c r="C31" s="37"/>
      <c r="D31" s="37"/>
      <c r="E31" s="140"/>
      <c r="F31" s="141"/>
      <c r="G31" s="140">
        <v>53.0</v>
      </c>
      <c r="H31" s="142">
        <v>0.0</v>
      </c>
      <c r="I31" s="147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  <c r="CF31" s="128"/>
      <c r="CG31" s="128"/>
      <c r="CH31" s="128"/>
      <c r="CI31" s="128"/>
      <c r="CJ31" s="128"/>
      <c r="CK31" s="128"/>
      <c r="CL31" s="128"/>
      <c r="CM31" s="128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G31" s="128"/>
      <c r="DH31" s="128"/>
      <c r="DI31" s="128"/>
      <c r="DJ31" s="128"/>
      <c r="DK31" s="128"/>
      <c r="DL31" s="128"/>
      <c r="DM31" s="128"/>
      <c r="DN31" s="128"/>
      <c r="DO31" s="128"/>
      <c r="DP31" s="128"/>
      <c r="DQ31" s="128"/>
      <c r="DR31" s="128"/>
      <c r="DS31" s="128"/>
      <c r="DT31" s="128"/>
      <c r="DU31" s="128"/>
      <c r="DV31" s="128"/>
      <c r="DW31" s="128"/>
      <c r="DX31" s="128"/>
      <c r="DY31" s="128"/>
      <c r="DZ31" s="128"/>
      <c r="EA31" s="128"/>
      <c r="EB31" s="128"/>
      <c r="EC31" s="128"/>
      <c r="ED31" s="128"/>
      <c r="EE31" s="128"/>
      <c r="EF31" s="128"/>
      <c r="EG31" s="128"/>
      <c r="EH31" s="128"/>
      <c r="EI31" s="128"/>
      <c r="EJ31" s="128"/>
      <c r="EK31" s="128"/>
      <c r="EL31" s="128"/>
      <c r="EM31" s="128"/>
      <c r="EN31" s="128"/>
      <c r="EO31" s="128"/>
      <c r="EP31" s="128"/>
      <c r="EQ31" s="128"/>
      <c r="ER31" s="128"/>
      <c r="ES31" s="128"/>
      <c r="ET31" s="128"/>
      <c r="EU31" s="128"/>
      <c r="EV31" s="128"/>
      <c r="EW31" s="128"/>
      <c r="EX31" s="128"/>
      <c r="EY31" s="128"/>
      <c r="EZ31" s="128"/>
      <c r="FA31" s="128"/>
      <c r="FB31" s="128"/>
      <c r="FC31" s="128"/>
      <c r="FD31" s="128"/>
      <c r="FE31" s="128"/>
      <c r="FF31" s="128"/>
      <c r="FG31" s="128"/>
      <c r="FH31" s="128"/>
      <c r="FI31" s="128"/>
      <c r="FJ31" s="128"/>
      <c r="FK31" s="128"/>
      <c r="FL31" s="128"/>
      <c r="FM31" s="128"/>
      <c r="FN31" s="128"/>
      <c r="FO31" s="128"/>
      <c r="FP31" s="128"/>
      <c r="FQ31" s="128"/>
      <c r="FR31" s="128"/>
      <c r="FS31" s="128"/>
      <c r="FT31" s="128"/>
      <c r="FU31" s="128"/>
      <c r="FV31" s="128"/>
      <c r="FW31" s="128"/>
      <c r="FX31" s="128"/>
      <c r="FY31" s="128"/>
      <c r="FZ31" s="128"/>
      <c r="GA31" s="128"/>
      <c r="GB31" s="128"/>
      <c r="GC31" s="128"/>
      <c r="GD31" s="128"/>
      <c r="GE31" s="128"/>
      <c r="GF31" s="128"/>
      <c r="GG31" s="128"/>
      <c r="GH31" s="128"/>
      <c r="GI31" s="128"/>
      <c r="GJ31" s="128"/>
      <c r="GK31" s="128"/>
      <c r="GL31" s="128"/>
      <c r="GM31" s="128"/>
      <c r="GN31" s="128"/>
      <c r="GO31" s="128"/>
      <c r="GP31" s="128"/>
      <c r="GQ31" s="128"/>
      <c r="GR31" s="128"/>
      <c r="GS31" s="128"/>
      <c r="GT31" s="128"/>
      <c r="GU31" s="128"/>
      <c r="GV31" s="128"/>
      <c r="GW31" s="128"/>
      <c r="GX31" s="128"/>
      <c r="GY31" s="128"/>
      <c r="GZ31" s="128"/>
      <c r="HA31" s="128"/>
      <c r="HB31" s="128"/>
      <c r="HC31" s="128"/>
      <c r="HD31" s="128"/>
      <c r="HE31" s="128"/>
      <c r="HF31" s="128"/>
      <c r="HG31" s="128"/>
      <c r="HH31" s="128"/>
      <c r="HI31" s="128"/>
      <c r="HJ31" s="128"/>
      <c r="HK31" s="128"/>
      <c r="HL31" s="128"/>
      <c r="HM31" s="128"/>
      <c r="HN31" s="128"/>
      <c r="HO31" s="128"/>
      <c r="HP31" s="128"/>
      <c r="HQ31" s="128"/>
      <c r="HR31" s="128"/>
      <c r="HS31" s="128"/>
      <c r="HT31" s="128"/>
      <c r="HU31" s="128"/>
      <c r="HV31" s="128"/>
      <c r="HW31" s="128"/>
      <c r="HX31" s="128"/>
      <c r="HY31" s="128"/>
      <c r="HZ31" s="128"/>
      <c r="IA31" s="128"/>
      <c r="IB31" s="128"/>
      <c r="IC31" s="128"/>
      <c r="ID31" s="128"/>
      <c r="IE31" s="128"/>
      <c r="IF31" s="128"/>
      <c r="IG31" s="128"/>
      <c r="IH31" s="128"/>
      <c r="II31" s="128"/>
      <c r="IJ31" s="128"/>
      <c r="IK31" s="128"/>
      <c r="IL31" s="128"/>
      <c r="IM31" s="128"/>
      <c r="IN31" s="128"/>
      <c r="IO31" s="128"/>
      <c r="IP31" s="128"/>
      <c r="IQ31" s="128"/>
      <c r="IR31" s="128"/>
      <c r="IS31" s="128"/>
      <c r="IT31" s="128"/>
      <c r="IU31" s="128"/>
    </row>
    <row r="32" ht="12.75" customHeight="1">
      <c r="A32" s="138">
        <v>28.0</v>
      </c>
      <c r="B32" s="148" t="s">
        <v>113</v>
      </c>
      <c r="C32" s="148"/>
      <c r="D32" s="148"/>
      <c r="E32" s="140"/>
      <c r="F32" s="141"/>
      <c r="G32" s="140">
        <v>60.0</v>
      </c>
      <c r="H32" s="142">
        <v>0.0</v>
      </c>
      <c r="I32" s="147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28"/>
      <c r="HX32" s="128"/>
      <c r="HY32" s="128"/>
      <c r="HZ32" s="128"/>
      <c r="IA32" s="128"/>
      <c r="IB32" s="128"/>
      <c r="IC32" s="128"/>
      <c r="ID32" s="128"/>
      <c r="IE32" s="128"/>
      <c r="IF32" s="128"/>
      <c r="IG32" s="128"/>
      <c r="IH32" s="128"/>
      <c r="II32" s="128"/>
      <c r="IJ32" s="128"/>
      <c r="IK32" s="128"/>
      <c r="IL32" s="128"/>
      <c r="IM32" s="128"/>
      <c r="IN32" s="128"/>
      <c r="IO32" s="128"/>
      <c r="IP32" s="128"/>
      <c r="IQ32" s="128"/>
      <c r="IR32" s="128"/>
      <c r="IS32" s="128"/>
      <c r="IT32" s="128"/>
      <c r="IU32" s="128"/>
    </row>
    <row r="33" ht="12.75" customHeight="1">
      <c r="A33" s="138">
        <v>32.0</v>
      </c>
      <c r="B33" s="144" t="s">
        <v>114</v>
      </c>
      <c r="C33" s="37"/>
      <c r="D33" s="37"/>
      <c r="E33" s="140"/>
      <c r="F33" s="141"/>
      <c r="G33" s="140">
        <v>78.0</v>
      </c>
      <c r="H33" s="142" t="str">
        <f>+H15-H30</f>
        <v>-9.84</v>
      </c>
      <c r="I33" s="147"/>
      <c r="J33" s="147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  <c r="CF33" s="128"/>
      <c r="CG33" s="128"/>
      <c r="CH33" s="128"/>
      <c r="CI33" s="128"/>
      <c r="CJ33" s="128"/>
      <c r="CK33" s="128"/>
      <c r="CL33" s="128"/>
      <c r="CM33" s="128"/>
      <c r="CN33" s="128"/>
      <c r="CO33" s="128"/>
      <c r="CP33" s="128"/>
      <c r="CQ33" s="128"/>
      <c r="CR33" s="128"/>
      <c r="CS33" s="128"/>
      <c r="CT33" s="128"/>
      <c r="CU33" s="128"/>
      <c r="CV33" s="128"/>
      <c r="CW33" s="128"/>
      <c r="CX33" s="128"/>
      <c r="CY33" s="128"/>
      <c r="CZ33" s="128"/>
      <c r="DA33" s="128"/>
      <c r="DB33" s="128"/>
      <c r="DC33" s="128"/>
      <c r="DD33" s="128"/>
      <c r="DE33" s="128"/>
      <c r="DF33" s="128"/>
      <c r="DG33" s="128"/>
      <c r="DH33" s="128"/>
      <c r="DI33" s="128"/>
      <c r="DJ33" s="128"/>
      <c r="DK33" s="128"/>
      <c r="DL33" s="128"/>
      <c r="DM33" s="128"/>
      <c r="DN33" s="128"/>
      <c r="DO33" s="128"/>
      <c r="DP33" s="128"/>
      <c r="DQ33" s="128"/>
      <c r="DR33" s="128"/>
      <c r="DS33" s="128"/>
      <c r="DT33" s="128"/>
      <c r="DU33" s="128"/>
      <c r="DV33" s="128"/>
      <c r="DW33" s="128"/>
      <c r="DX33" s="128"/>
      <c r="DY33" s="128"/>
      <c r="DZ33" s="128"/>
      <c r="EA33" s="128"/>
      <c r="EB33" s="128"/>
      <c r="EC33" s="128"/>
      <c r="ED33" s="128"/>
      <c r="EE33" s="128"/>
      <c r="EF33" s="128"/>
      <c r="EG33" s="128"/>
      <c r="EH33" s="128"/>
      <c r="EI33" s="128"/>
      <c r="EJ33" s="128"/>
      <c r="EK33" s="128"/>
      <c r="EL33" s="128"/>
      <c r="EM33" s="128"/>
      <c r="EN33" s="128"/>
      <c r="EO33" s="128"/>
      <c r="EP33" s="128"/>
      <c r="EQ33" s="128"/>
      <c r="ER33" s="128"/>
      <c r="ES33" s="128"/>
      <c r="ET33" s="128"/>
      <c r="EU33" s="128"/>
      <c r="EV33" s="128"/>
      <c r="EW33" s="128"/>
      <c r="EX33" s="128"/>
      <c r="EY33" s="128"/>
      <c r="EZ33" s="128"/>
      <c r="FA33" s="128"/>
      <c r="FB33" s="128"/>
      <c r="FC33" s="128"/>
      <c r="FD33" s="128"/>
      <c r="FE33" s="128"/>
      <c r="FF33" s="128"/>
      <c r="FG33" s="128"/>
      <c r="FH33" s="128"/>
      <c r="FI33" s="128"/>
      <c r="FJ33" s="128"/>
      <c r="FK33" s="128"/>
      <c r="FL33" s="128"/>
      <c r="FM33" s="128"/>
      <c r="FN33" s="128"/>
      <c r="FO33" s="128"/>
      <c r="FP33" s="128"/>
      <c r="FQ33" s="128"/>
      <c r="FR33" s="128"/>
      <c r="FS33" s="128"/>
      <c r="FT33" s="128"/>
      <c r="FU33" s="128"/>
      <c r="FV33" s="128"/>
      <c r="FW33" s="128"/>
      <c r="FX33" s="128"/>
      <c r="FY33" s="128"/>
      <c r="FZ33" s="128"/>
      <c r="GA33" s="128"/>
      <c r="GB33" s="128"/>
      <c r="GC33" s="128"/>
      <c r="GD33" s="128"/>
      <c r="GE33" s="128"/>
      <c r="GF33" s="128"/>
      <c r="GG33" s="128"/>
      <c r="GH33" s="128"/>
      <c r="GI33" s="128"/>
      <c r="GJ33" s="128"/>
      <c r="GK33" s="128"/>
      <c r="GL33" s="128"/>
      <c r="GM33" s="128"/>
      <c r="GN33" s="128"/>
      <c r="GO33" s="128"/>
      <c r="GP33" s="128"/>
      <c r="GQ33" s="128"/>
      <c r="GR33" s="128"/>
      <c r="GS33" s="128"/>
      <c r="GT33" s="128"/>
      <c r="GU33" s="128"/>
      <c r="GV33" s="128"/>
      <c r="GW33" s="128"/>
      <c r="GX33" s="128"/>
      <c r="GY33" s="128"/>
      <c r="GZ33" s="128"/>
      <c r="HA33" s="128"/>
      <c r="HB33" s="128"/>
      <c r="HC33" s="128"/>
      <c r="HD33" s="128"/>
      <c r="HE33" s="128"/>
      <c r="HF33" s="128"/>
      <c r="HG33" s="128"/>
      <c r="HH33" s="128"/>
      <c r="HI33" s="128"/>
      <c r="HJ33" s="128"/>
      <c r="HK33" s="128"/>
      <c r="HL33" s="128"/>
      <c r="HM33" s="128"/>
      <c r="HN33" s="128"/>
      <c r="HO33" s="128"/>
      <c r="HP33" s="128"/>
      <c r="HQ33" s="128"/>
      <c r="HR33" s="128"/>
      <c r="HS33" s="128"/>
      <c r="HT33" s="128"/>
      <c r="HU33" s="128"/>
      <c r="HV33" s="128"/>
      <c r="HW33" s="128"/>
      <c r="HX33" s="128"/>
      <c r="HY33" s="128"/>
      <c r="HZ33" s="128"/>
      <c r="IA33" s="128"/>
      <c r="IB33" s="128"/>
      <c r="IC33" s="128"/>
      <c r="ID33" s="128"/>
      <c r="IE33" s="128"/>
      <c r="IF33" s="128"/>
      <c r="IG33" s="128"/>
      <c r="IH33" s="128"/>
      <c r="II33" s="128"/>
      <c r="IJ33" s="128"/>
      <c r="IK33" s="128"/>
      <c r="IL33" s="128"/>
      <c r="IM33" s="128"/>
      <c r="IN33" s="128"/>
      <c r="IO33" s="128"/>
      <c r="IP33" s="128"/>
      <c r="IQ33" s="128"/>
      <c r="IR33" s="128"/>
      <c r="IS33" s="128"/>
      <c r="IT33" s="128"/>
      <c r="IU33" s="128"/>
    </row>
    <row r="34" ht="12.75" customHeight="1">
      <c r="A34" s="134" t="s">
        <v>115</v>
      </c>
      <c r="B34" s="37"/>
      <c r="C34" s="37"/>
      <c r="D34" s="37"/>
      <c r="E34" s="38"/>
      <c r="F34" s="135"/>
      <c r="G34" s="140"/>
      <c r="H34" s="137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8"/>
      <c r="CH34" s="128"/>
      <c r="CI34" s="128"/>
      <c r="CJ34" s="128"/>
      <c r="CK34" s="128"/>
      <c r="CL34" s="128"/>
      <c r="CM34" s="128"/>
      <c r="CN34" s="128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28"/>
      <c r="DH34" s="128"/>
      <c r="DI34" s="128"/>
      <c r="DJ34" s="128"/>
      <c r="DK34" s="128"/>
      <c r="DL34" s="128"/>
      <c r="DM34" s="128"/>
      <c r="DN34" s="128"/>
      <c r="DO34" s="128"/>
      <c r="DP34" s="128"/>
      <c r="DQ34" s="128"/>
      <c r="DR34" s="128"/>
      <c r="DS34" s="128"/>
      <c r="DT34" s="128"/>
      <c r="DU34" s="128"/>
      <c r="DV34" s="128"/>
      <c r="DW34" s="128"/>
      <c r="DX34" s="128"/>
      <c r="DY34" s="128"/>
      <c r="DZ34" s="128"/>
      <c r="EA34" s="128"/>
      <c r="EB34" s="128"/>
      <c r="EC34" s="128"/>
      <c r="ED34" s="128"/>
      <c r="EE34" s="128"/>
      <c r="EF34" s="128"/>
      <c r="EG34" s="128"/>
      <c r="EH34" s="128"/>
      <c r="EI34" s="128"/>
      <c r="EJ34" s="128"/>
      <c r="EK34" s="128"/>
      <c r="EL34" s="128"/>
      <c r="EM34" s="128"/>
      <c r="EN34" s="128"/>
      <c r="EO34" s="128"/>
      <c r="EP34" s="128"/>
      <c r="EQ34" s="128"/>
      <c r="ER34" s="128"/>
      <c r="ES34" s="128"/>
      <c r="ET34" s="128"/>
      <c r="EU34" s="128"/>
      <c r="EV34" s="128"/>
      <c r="EW34" s="128"/>
      <c r="EX34" s="128"/>
      <c r="EY34" s="128"/>
      <c r="EZ34" s="128"/>
      <c r="FA34" s="128"/>
      <c r="FB34" s="128"/>
      <c r="FC34" s="128"/>
      <c r="FD34" s="128"/>
      <c r="FE34" s="128"/>
      <c r="FF34" s="128"/>
      <c r="FG34" s="128"/>
      <c r="FH34" s="128"/>
      <c r="FI34" s="128"/>
      <c r="FJ34" s="128"/>
      <c r="FK34" s="128"/>
      <c r="FL34" s="128"/>
      <c r="FM34" s="128"/>
      <c r="FN34" s="128"/>
      <c r="FO34" s="128"/>
      <c r="FP34" s="128"/>
      <c r="FQ34" s="128"/>
      <c r="FR34" s="128"/>
      <c r="FS34" s="128"/>
      <c r="FT34" s="128"/>
      <c r="FU34" s="128"/>
      <c r="FV34" s="128"/>
      <c r="FW34" s="128"/>
      <c r="FX34" s="128"/>
      <c r="FY34" s="128"/>
      <c r="FZ34" s="128"/>
      <c r="GA34" s="128"/>
      <c r="GB34" s="128"/>
      <c r="GC34" s="128"/>
      <c r="GD34" s="128"/>
      <c r="GE34" s="128"/>
      <c r="GF34" s="128"/>
      <c r="GG34" s="128"/>
      <c r="GH34" s="128"/>
      <c r="GI34" s="128"/>
      <c r="GJ34" s="128"/>
      <c r="GK34" s="128"/>
      <c r="GL34" s="128"/>
      <c r="GM34" s="128"/>
      <c r="GN34" s="128"/>
      <c r="GO34" s="128"/>
      <c r="GP34" s="128"/>
      <c r="GQ34" s="128"/>
      <c r="GR34" s="128"/>
      <c r="GS34" s="128"/>
      <c r="GT34" s="128"/>
      <c r="GU34" s="128"/>
      <c r="GV34" s="128"/>
      <c r="GW34" s="128"/>
      <c r="GX34" s="128"/>
      <c r="GY34" s="128"/>
      <c r="GZ34" s="128"/>
      <c r="HA34" s="128"/>
      <c r="HB34" s="128"/>
      <c r="HC34" s="128"/>
      <c r="HD34" s="128"/>
      <c r="HE34" s="128"/>
      <c r="HF34" s="128"/>
      <c r="HG34" s="128"/>
      <c r="HH34" s="128"/>
      <c r="HI34" s="128"/>
      <c r="HJ34" s="128"/>
      <c r="HK34" s="128"/>
      <c r="HL34" s="128"/>
      <c r="HM34" s="128"/>
      <c r="HN34" s="128"/>
      <c r="HO34" s="128"/>
      <c r="HP34" s="128"/>
      <c r="HQ34" s="128"/>
      <c r="HR34" s="128"/>
      <c r="HS34" s="128"/>
      <c r="HT34" s="128"/>
      <c r="HU34" s="128"/>
      <c r="HV34" s="128"/>
      <c r="HW34" s="128"/>
      <c r="HX34" s="128"/>
      <c r="HY34" s="128"/>
      <c r="HZ34" s="128"/>
      <c r="IA34" s="128"/>
      <c r="IB34" s="128"/>
      <c r="IC34" s="128"/>
      <c r="ID34" s="128"/>
      <c r="IE34" s="128"/>
      <c r="IF34" s="128"/>
      <c r="IG34" s="128"/>
      <c r="IH34" s="128"/>
      <c r="II34" s="128"/>
      <c r="IJ34" s="128"/>
      <c r="IK34" s="128"/>
      <c r="IL34" s="128"/>
      <c r="IM34" s="128"/>
      <c r="IN34" s="128"/>
      <c r="IO34" s="128"/>
      <c r="IP34" s="128"/>
      <c r="IQ34" s="128"/>
      <c r="IR34" s="128"/>
      <c r="IS34" s="128"/>
      <c r="IT34" s="128"/>
      <c r="IU34" s="128"/>
    </row>
    <row r="35" ht="12.75" customHeight="1">
      <c r="A35" s="138">
        <v>33.0</v>
      </c>
      <c r="B35" s="143" t="s">
        <v>116</v>
      </c>
      <c r="C35" s="37"/>
      <c r="D35" s="37"/>
      <c r="E35" s="140">
        <v>54.0</v>
      </c>
      <c r="F35" s="141">
        <v>0.0</v>
      </c>
      <c r="G35" s="140"/>
      <c r="H35" s="142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  <c r="CG35" s="128"/>
      <c r="CH35" s="128"/>
      <c r="CI35" s="128"/>
      <c r="CJ35" s="128"/>
      <c r="CK35" s="128"/>
      <c r="CL35" s="128"/>
      <c r="CM35" s="128"/>
      <c r="CN35" s="128"/>
      <c r="CO35" s="128"/>
      <c r="CP35" s="128"/>
      <c r="CQ35" s="128"/>
      <c r="CR35" s="128"/>
      <c r="CS35" s="128"/>
      <c r="CT35" s="128"/>
      <c r="CU35" s="128"/>
      <c r="CV35" s="128"/>
      <c r="CW35" s="128"/>
      <c r="CX35" s="128"/>
      <c r="CY35" s="128"/>
      <c r="CZ35" s="128"/>
      <c r="DA35" s="128"/>
      <c r="DB35" s="128"/>
      <c r="DC35" s="128"/>
      <c r="DD35" s="128"/>
      <c r="DE35" s="128"/>
      <c r="DF35" s="128"/>
      <c r="DG35" s="128"/>
      <c r="DH35" s="128"/>
      <c r="DI35" s="128"/>
      <c r="DJ35" s="128"/>
      <c r="DK35" s="128"/>
      <c r="DL35" s="128"/>
      <c r="DM35" s="128"/>
      <c r="DN35" s="128"/>
      <c r="DO35" s="128"/>
      <c r="DP35" s="128"/>
      <c r="DQ35" s="128"/>
      <c r="DR35" s="128"/>
      <c r="DS35" s="128"/>
      <c r="DT35" s="128"/>
      <c r="DU35" s="128"/>
      <c r="DV35" s="128"/>
      <c r="DW35" s="128"/>
      <c r="DX35" s="128"/>
      <c r="DY35" s="128"/>
      <c r="DZ35" s="128"/>
      <c r="EA35" s="128"/>
      <c r="EB35" s="128"/>
      <c r="EC35" s="128"/>
      <c r="ED35" s="128"/>
      <c r="EE35" s="128"/>
      <c r="EF35" s="128"/>
      <c r="EG35" s="128"/>
      <c r="EH35" s="128"/>
      <c r="EI35" s="128"/>
      <c r="EJ35" s="128"/>
      <c r="EK35" s="128"/>
      <c r="EL35" s="128"/>
      <c r="EM35" s="128"/>
      <c r="EN35" s="128"/>
      <c r="EO35" s="128"/>
      <c r="EP35" s="128"/>
      <c r="EQ35" s="128"/>
      <c r="ER35" s="128"/>
      <c r="ES35" s="128"/>
      <c r="ET35" s="128"/>
      <c r="EU35" s="128"/>
      <c r="EV35" s="128"/>
      <c r="EW35" s="128"/>
      <c r="EX35" s="128"/>
      <c r="EY35" s="128"/>
      <c r="EZ35" s="128"/>
      <c r="FA35" s="128"/>
      <c r="FB35" s="128"/>
      <c r="FC35" s="128"/>
      <c r="FD35" s="128"/>
      <c r="FE35" s="128"/>
      <c r="FF35" s="128"/>
      <c r="FG35" s="128"/>
      <c r="FH35" s="128"/>
      <c r="FI35" s="128"/>
      <c r="FJ35" s="128"/>
      <c r="FK35" s="128"/>
      <c r="FL35" s="128"/>
      <c r="FM35" s="128"/>
      <c r="FN35" s="128"/>
      <c r="FO35" s="128"/>
      <c r="FP35" s="128"/>
      <c r="FQ35" s="128"/>
      <c r="FR35" s="128"/>
      <c r="FS35" s="128"/>
      <c r="FT35" s="128"/>
      <c r="FU35" s="128"/>
      <c r="FV35" s="128"/>
      <c r="FW35" s="128"/>
      <c r="FX35" s="128"/>
      <c r="FY35" s="128"/>
      <c r="FZ35" s="128"/>
      <c r="GA35" s="128"/>
      <c r="GB35" s="128"/>
      <c r="GC35" s="128"/>
      <c r="GD35" s="128"/>
      <c r="GE35" s="128"/>
      <c r="GF35" s="128"/>
      <c r="GG35" s="128"/>
      <c r="GH35" s="128"/>
      <c r="GI35" s="128"/>
      <c r="GJ35" s="128"/>
      <c r="GK35" s="128"/>
      <c r="GL35" s="128"/>
      <c r="GM35" s="128"/>
      <c r="GN35" s="128"/>
      <c r="GO35" s="128"/>
      <c r="GP35" s="128"/>
      <c r="GQ35" s="128"/>
      <c r="GR35" s="128"/>
      <c r="GS35" s="128"/>
      <c r="GT35" s="128"/>
      <c r="GU35" s="128"/>
      <c r="GV35" s="128"/>
      <c r="GW35" s="128"/>
      <c r="GX35" s="128"/>
      <c r="GY35" s="128"/>
      <c r="GZ35" s="128"/>
      <c r="HA35" s="128"/>
      <c r="HB35" s="128"/>
      <c r="HC35" s="128"/>
      <c r="HD35" s="128"/>
      <c r="HE35" s="128"/>
      <c r="HF35" s="128"/>
      <c r="HG35" s="128"/>
      <c r="HH35" s="128"/>
      <c r="HI35" s="128"/>
      <c r="HJ35" s="128"/>
      <c r="HK35" s="128"/>
      <c r="HL35" s="128"/>
      <c r="HM35" s="128"/>
      <c r="HN35" s="128"/>
      <c r="HO35" s="128"/>
      <c r="HP35" s="128"/>
      <c r="HQ35" s="128"/>
      <c r="HR35" s="128"/>
      <c r="HS35" s="128"/>
      <c r="HT35" s="128"/>
      <c r="HU35" s="128"/>
      <c r="HV35" s="128"/>
      <c r="HW35" s="128"/>
      <c r="HX35" s="128"/>
      <c r="HY35" s="128"/>
      <c r="HZ35" s="128"/>
      <c r="IA35" s="128"/>
      <c r="IB35" s="128"/>
      <c r="IC35" s="128"/>
      <c r="ID35" s="128"/>
      <c r="IE35" s="128"/>
      <c r="IF35" s="128"/>
      <c r="IG35" s="128"/>
      <c r="IH35" s="128"/>
      <c r="II35" s="128"/>
      <c r="IJ35" s="128"/>
      <c r="IK35" s="128"/>
      <c r="IL35" s="128"/>
      <c r="IM35" s="128"/>
      <c r="IN35" s="128"/>
      <c r="IO35" s="128"/>
      <c r="IP35" s="128"/>
      <c r="IQ35" s="128"/>
      <c r="IR35" s="128"/>
      <c r="IS35" s="128"/>
      <c r="IT35" s="128"/>
      <c r="IU35" s="128"/>
    </row>
    <row r="36" ht="12.75" customHeight="1">
      <c r="A36" s="138">
        <v>34.0</v>
      </c>
      <c r="B36" s="143" t="s">
        <v>117</v>
      </c>
      <c r="C36" s="37"/>
      <c r="D36" s="37"/>
      <c r="E36" s="140">
        <v>66.0</v>
      </c>
      <c r="F36" s="141">
        <v>0.0</v>
      </c>
      <c r="G36" s="140"/>
      <c r="H36" s="142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28"/>
      <c r="CV36" s="128"/>
      <c r="CW36" s="128"/>
      <c r="CX36" s="128"/>
      <c r="CY36" s="128"/>
      <c r="CZ36" s="128"/>
      <c r="DA36" s="128"/>
      <c r="DB36" s="128"/>
      <c r="DC36" s="128"/>
      <c r="DD36" s="128"/>
      <c r="DE36" s="128"/>
      <c r="DF36" s="128"/>
      <c r="DG36" s="128"/>
      <c r="DH36" s="128"/>
      <c r="DI36" s="128"/>
      <c r="DJ36" s="128"/>
      <c r="DK36" s="128"/>
      <c r="DL36" s="128"/>
      <c r="DM36" s="128"/>
      <c r="DN36" s="128"/>
      <c r="DO36" s="128"/>
      <c r="DP36" s="128"/>
      <c r="DQ36" s="128"/>
      <c r="DR36" s="128"/>
      <c r="DS36" s="128"/>
      <c r="DT36" s="128"/>
      <c r="DU36" s="128"/>
      <c r="DV36" s="128"/>
      <c r="DW36" s="128"/>
      <c r="DX36" s="128"/>
      <c r="DY36" s="128"/>
      <c r="DZ36" s="128"/>
      <c r="EA36" s="128"/>
      <c r="EB36" s="128"/>
      <c r="EC36" s="128"/>
      <c r="ED36" s="128"/>
      <c r="EE36" s="128"/>
      <c r="EF36" s="128"/>
      <c r="EG36" s="128"/>
      <c r="EH36" s="128"/>
      <c r="EI36" s="128"/>
      <c r="EJ36" s="128"/>
      <c r="EK36" s="128"/>
      <c r="EL36" s="128"/>
      <c r="EM36" s="128"/>
      <c r="EN36" s="128"/>
      <c r="EO36" s="128"/>
      <c r="EP36" s="128"/>
      <c r="EQ36" s="128"/>
      <c r="ER36" s="128"/>
      <c r="ES36" s="128"/>
      <c r="ET36" s="128"/>
      <c r="EU36" s="128"/>
      <c r="EV36" s="128"/>
      <c r="EW36" s="128"/>
      <c r="EX36" s="128"/>
      <c r="EY36" s="128"/>
      <c r="EZ36" s="128"/>
      <c r="FA36" s="128"/>
      <c r="FB36" s="128"/>
      <c r="FC36" s="128"/>
      <c r="FD36" s="128"/>
      <c r="FE36" s="128"/>
      <c r="FF36" s="128"/>
      <c r="FG36" s="128"/>
      <c r="FH36" s="128"/>
      <c r="FI36" s="128"/>
      <c r="FJ36" s="128"/>
      <c r="FK36" s="128"/>
      <c r="FL36" s="128"/>
      <c r="FM36" s="128"/>
      <c r="FN36" s="128"/>
      <c r="FO36" s="128"/>
      <c r="FP36" s="128"/>
      <c r="FQ36" s="128"/>
      <c r="FR36" s="128"/>
      <c r="FS36" s="128"/>
      <c r="FT36" s="128"/>
      <c r="FU36" s="128"/>
      <c r="FV36" s="128"/>
      <c r="FW36" s="128"/>
      <c r="FX36" s="128"/>
      <c r="FY36" s="128"/>
      <c r="FZ36" s="128"/>
      <c r="GA36" s="128"/>
      <c r="GB36" s="128"/>
      <c r="GC36" s="128"/>
      <c r="GD36" s="128"/>
      <c r="GE36" s="128"/>
      <c r="GF36" s="128"/>
      <c r="GG36" s="128"/>
      <c r="GH36" s="128"/>
      <c r="GI36" s="128"/>
      <c r="GJ36" s="128"/>
      <c r="GK36" s="128"/>
      <c r="GL36" s="128"/>
      <c r="GM36" s="128"/>
      <c r="GN36" s="128"/>
      <c r="GO36" s="128"/>
      <c r="GP36" s="128"/>
      <c r="GQ36" s="128"/>
      <c r="GR36" s="128"/>
      <c r="GS36" s="128"/>
      <c r="GT36" s="128"/>
      <c r="GU36" s="128"/>
      <c r="GV36" s="128"/>
      <c r="GW36" s="128"/>
      <c r="GX36" s="128"/>
      <c r="GY36" s="128"/>
      <c r="GZ36" s="128"/>
      <c r="HA36" s="128"/>
      <c r="HB36" s="128"/>
      <c r="HC36" s="128"/>
      <c r="HD36" s="128"/>
      <c r="HE36" s="128"/>
      <c r="HF36" s="128"/>
      <c r="HG36" s="128"/>
      <c r="HH36" s="128"/>
      <c r="HI36" s="128"/>
      <c r="HJ36" s="128"/>
      <c r="HK36" s="128"/>
      <c r="HL36" s="128"/>
      <c r="HM36" s="128"/>
      <c r="HN36" s="128"/>
      <c r="HO36" s="128"/>
      <c r="HP36" s="128"/>
      <c r="HQ36" s="128"/>
      <c r="HR36" s="128"/>
      <c r="HS36" s="128"/>
      <c r="HT36" s="128"/>
      <c r="HU36" s="128"/>
      <c r="HV36" s="128"/>
      <c r="HW36" s="128"/>
      <c r="HX36" s="128"/>
      <c r="HY36" s="128"/>
      <c r="HZ36" s="128"/>
      <c r="IA36" s="128"/>
      <c r="IB36" s="128"/>
      <c r="IC36" s="128"/>
      <c r="ID36" s="128"/>
      <c r="IE36" s="128"/>
      <c r="IF36" s="128"/>
      <c r="IG36" s="128"/>
      <c r="IH36" s="128"/>
      <c r="II36" s="128"/>
      <c r="IJ36" s="128"/>
      <c r="IK36" s="128"/>
      <c r="IL36" s="128"/>
      <c r="IM36" s="128"/>
      <c r="IN36" s="128"/>
      <c r="IO36" s="128"/>
      <c r="IP36" s="128"/>
      <c r="IQ36" s="128"/>
      <c r="IR36" s="128"/>
      <c r="IS36" s="128"/>
      <c r="IT36" s="128"/>
      <c r="IU36" s="128"/>
    </row>
    <row r="37" ht="12.75" customHeight="1">
      <c r="A37" s="138">
        <v>37.0</v>
      </c>
      <c r="B37" s="144" t="s">
        <v>118</v>
      </c>
      <c r="C37" s="37"/>
      <c r="D37" s="37"/>
      <c r="E37" s="140">
        <v>74.0</v>
      </c>
      <c r="F37" s="141" t="str">
        <f>SUM(F35:F36)</f>
        <v>0.00</v>
      </c>
      <c r="G37" s="140"/>
      <c r="H37" s="145"/>
      <c r="I37" s="147"/>
      <c r="J37" s="147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  <c r="CM37" s="128"/>
      <c r="CN37" s="128"/>
      <c r="CO37" s="128"/>
      <c r="CP37" s="128"/>
      <c r="CQ37" s="128"/>
      <c r="CR37" s="128"/>
      <c r="CS37" s="128"/>
      <c r="CT37" s="128"/>
      <c r="CU37" s="128"/>
      <c r="CV37" s="128"/>
      <c r="CW37" s="128"/>
      <c r="CX37" s="128"/>
      <c r="CY37" s="128"/>
      <c r="CZ37" s="128"/>
      <c r="DA37" s="128"/>
      <c r="DB37" s="128"/>
      <c r="DC37" s="128"/>
      <c r="DD37" s="128"/>
      <c r="DE37" s="128"/>
      <c r="DF37" s="128"/>
      <c r="DG37" s="128"/>
      <c r="DH37" s="128"/>
      <c r="DI37" s="128"/>
      <c r="DJ37" s="128"/>
      <c r="DK37" s="128"/>
      <c r="DL37" s="128"/>
      <c r="DM37" s="128"/>
      <c r="DN37" s="128"/>
      <c r="DO37" s="128"/>
      <c r="DP37" s="128"/>
      <c r="DQ37" s="128"/>
      <c r="DR37" s="128"/>
      <c r="DS37" s="128"/>
      <c r="DT37" s="128"/>
      <c r="DU37" s="128"/>
      <c r="DV37" s="128"/>
      <c r="DW37" s="128"/>
      <c r="DX37" s="128"/>
      <c r="DY37" s="128"/>
      <c r="DZ37" s="128"/>
      <c r="EA37" s="128"/>
      <c r="EB37" s="128"/>
      <c r="EC37" s="128"/>
      <c r="ED37" s="128"/>
      <c r="EE37" s="128"/>
      <c r="EF37" s="128"/>
      <c r="EG37" s="128"/>
      <c r="EH37" s="128"/>
      <c r="EI37" s="128"/>
      <c r="EJ37" s="128"/>
      <c r="EK37" s="128"/>
      <c r="EL37" s="128"/>
      <c r="EM37" s="128"/>
      <c r="EN37" s="128"/>
      <c r="EO37" s="128"/>
      <c r="EP37" s="128"/>
      <c r="EQ37" s="128"/>
      <c r="ER37" s="128"/>
      <c r="ES37" s="128"/>
      <c r="ET37" s="128"/>
      <c r="EU37" s="128"/>
      <c r="EV37" s="128"/>
      <c r="EW37" s="128"/>
      <c r="EX37" s="128"/>
      <c r="EY37" s="128"/>
      <c r="EZ37" s="128"/>
      <c r="FA37" s="128"/>
      <c r="FB37" s="128"/>
      <c r="FC37" s="128"/>
      <c r="FD37" s="128"/>
      <c r="FE37" s="128"/>
      <c r="FF37" s="128"/>
      <c r="FG37" s="128"/>
      <c r="FH37" s="128"/>
      <c r="FI37" s="128"/>
      <c r="FJ37" s="128"/>
      <c r="FK37" s="128"/>
      <c r="FL37" s="128"/>
      <c r="FM37" s="128"/>
      <c r="FN37" s="128"/>
      <c r="FO37" s="128"/>
      <c r="FP37" s="128"/>
      <c r="FQ37" s="128"/>
      <c r="FR37" s="128"/>
      <c r="FS37" s="128"/>
      <c r="FT37" s="128"/>
      <c r="FU37" s="128"/>
      <c r="FV37" s="128"/>
      <c r="FW37" s="128"/>
      <c r="FX37" s="128"/>
      <c r="FY37" s="128"/>
      <c r="FZ37" s="128"/>
      <c r="GA37" s="128"/>
      <c r="GB37" s="128"/>
      <c r="GC37" s="128"/>
      <c r="GD37" s="128"/>
      <c r="GE37" s="128"/>
      <c r="GF37" s="128"/>
      <c r="GG37" s="128"/>
      <c r="GH37" s="128"/>
      <c r="GI37" s="128"/>
      <c r="GJ37" s="128"/>
      <c r="GK37" s="128"/>
      <c r="GL37" s="128"/>
      <c r="GM37" s="128"/>
      <c r="GN37" s="128"/>
      <c r="GO37" s="128"/>
      <c r="GP37" s="128"/>
      <c r="GQ37" s="128"/>
      <c r="GR37" s="128"/>
      <c r="GS37" s="128"/>
      <c r="GT37" s="128"/>
      <c r="GU37" s="128"/>
      <c r="GV37" s="128"/>
      <c r="GW37" s="128"/>
      <c r="GX37" s="128"/>
      <c r="GY37" s="128"/>
      <c r="GZ37" s="128"/>
      <c r="HA37" s="128"/>
      <c r="HB37" s="128"/>
      <c r="HC37" s="128"/>
      <c r="HD37" s="128"/>
      <c r="HE37" s="128"/>
      <c r="HF37" s="128"/>
      <c r="HG37" s="128"/>
      <c r="HH37" s="128"/>
      <c r="HI37" s="128"/>
      <c r="HJ37" s="128"/>
      <c r="HK37" s="128"/>
      <c r="HL37" s="128"/>
      <c r="HM37" s="128"/>
      <c r="HN37" s="128"/>
      <c r="HO37" s="128"/>
      <c r="HP37" s="128"/>
      <c r="HQ37" s="128"/>
      <c r="HR37" s="128"/>
      <c r="HS37" s="128"/>
      <c r="HT37" s="128"/>
      <c r="HU37" s="128"/>
      <c r="HV37" s="128"/>
      <c r="HW37" s="128"/>
      <c r="HX37" s="128"/>
      <c r="HY37" s="128"/>
      <c r="HZ37" s="128"/>
      <c r="IA37" s="128"/>
      <c r="IB37" s="128"/>
      <c r="IC37" s="128"/>
      <c r="ID37" s="128"/>
      <c r="IE37" s="128"/>
      <c r="IF37" s="128"/>
      <c r="IG37" s="128"/>
      <c r="IH37" s="128"/>
      <c r="II37" s="128"/>
      <c r="IJ37" s="128"/>
      <c r="IK37" s="128"/>
      <c r="IL37" s="128"/>
      <c r="IM37" s="128"/>
      <c r="IN37" s="128"/>
      <c r="IO37" s="128"/>
      <c r="IP37" s="128"/>
      <c r="IQ37" s="128"/>
      <c r="IR37" s="128"/>
      <c r="IS37" s="128"/>
      <c r="IT37" s="128"/>
      <c r="IU37" s="128"/>
    </row>
    <row r="38" ht="12.75" customHeight="1">
      <c r="A38" s="138">
        <v>38.0</v>
      </c>
      <c r="B38" s="143" t="s">
        <v>119</v>
      </c>
      <c r="C38" s="37"/>
      <c r="D38" s="37"/>
      <c r="E38" s="140"/>
      <c r="F38" s="141">
        <v>0.0</v>
      </c>
      <c r="G38" s="140">
        <v>55.0</v>
      </c>
      <c r="H38" s="145" t="str">
        <f>+F37</f>
        <v>0.00</v>
      </c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  <c r="CM38" s="128"/>
      <c r="CN38" s="128"/>
      <c r="CO38" s="128"/>
      <c r="CP38" s="128"/>
      <c r="CQ38" s="128"/>
      <c r="CR38" s="128"/>
      <c r="CS38" s="128"/>
      <c r="CT38" s="128"/>
      <c r="CU38" s="128"/>
      <c r="CV38" s="128"/>
      <c r="CW38" s="128"/>
      <c r="CX38" s="128"/>
      <c r="CY38" s="128"/>
      <c r="CZ38" s="128"/>
      <c r="DA38" s="128"/>
      <c r="DB38" s="128"/>
      <c r="DC38" s="128"/>
      <c r="DD38" s="128"/>
      <c r="DE38" s="128"/>
      <c r="DF38" s="128"/>
      <c r="DG38" s="128"/>
      <c r="DH38" s="128"/>
      <c r="DI38" s="128"/>
      <c r="DJ38" s="128"/>
      <c r="DK38" s="128"/>
      <c r="DL38" s="128"/>
      <c r="DM38" s="128"/>
      <c r="DN38" s="128"/>
      <c r="DO38" s="128"/>
      <c r="DP38" s="128"/>
      <c r="DQ38" s="128"/>
      <c r="DR38" s="128"/>
      <c r="DS38" s="128"/>
      <c r="DT38" s="128"/>
      <c r="DU38" s="128"/>
      <c r="DV38" s="128"/>
      <c r="DW38" s="128"/>
      <c r="DX38" s="128"/>
      <c r="DY38" s="128"/>
      <c r="DZ38" s="128"/>
      <c r="EA38" s="128"/>
      <c r="EB38" s="128"/>
      <c r="EC38" s="128"/>
      <c r="ED38" s="128"/>
      <c r="EE38" s="128"/>
      <c r="EF38" s="128"/>
      <c r="EG38" s="128"/>
      <c r="EH38" s="128"/>
      <c r="EI38" s="128"/>
      <c r="EJ38" s="128"/>
      <c r="EK38" s="128"/>
      <c r="EL38" s="128"/>
      <c r="EM38" s="128"/>
      <c r="EN38" s="128"/>
      <c r="EO38" s="128"/>
      <c r="EP38" s="128"/>
      <c r="EQ38" s="128"/>
      <c r="ER38" s="128"/>
      <c r="ES38" s="128"/>
      <c r="ET38" s="128"/>
      <c r="EU38" s="128"/>
      <c r="EV38" s="128"/>
      <c r="EW38" s="128"/>
      <c r="EX38" s="128"/>
      <c r="EY38" s="128"/>
      <c r="EZ38" s="128"/>
      <c r="FA38" s="128"/>
      <c r="FB38" s="128"/>
      <c r="FC38" s="128"/>
      <c r="FD38" s="128"/>
      <c r="FE38" s="128"/>
      <c r="FF38" s="128"/>
      <c r="FG38" s="128"/>
      <c r="FH38" s="128"/>
      <c r="FI38" s="128"/>
      <c r="FJ38" s="128"/>
      <c r="FK38" s="128"/>
      <c r="FL38" s="128"/>
      <c r="FM38" s="128"/>
      <c r="FN38" s="128"/>
      <c r="FO38" s="128"/>
      <c r="FP38" s="128"/>
      <c r="FQ38" s="128"/>
      <c r="FR38" s="128"/>
      <c r="FS38" s="128"/>
      <c r="FT38" s="128"/>
      <c r="FU38" s="128"/>
      <c r="FV38" s="128"/>
      <c r="FW38" s="128"/>
      <c r="FX38" s="128"/>
      <c r="FY38" s="128"/>
      <c r="FZ38" s="128"/>
      <c r="GA38" s="128"/>
      <c r="GB38" s="128"/>
      <c r="GC38" s="128"/>
      <c r="GD38" s="128"/>
      <c r="GE38" s="128"/>
      <c r="GF38" s="128"/>
      <c r="GG38" s="128"/>
      <c r="GH38" s="128"/>
      <c r="GI38" s="128"/>
      <c r="GJ38" s="128"/>
      <c r="GK38" s="128"/>
      <c r="GL38" s="128"/>
      <c r="GM38" s="128"/>
      <c r="GN38" s="128"/>
      <c r="GO38" s="128"/>
      <c r="GP38" s="128"/>
      <c r="GQ38" s="128"/>
      <c r="GR38" s="128"/>
      <c r="GS38" s="128"/>
      <c r="GT38" s="128"/>
      <c r="GU38" s="128"/>
      <c r="GV38" s="128"/>
      <c r="GW38" s="128"/>
      <c r="GX38" s="128"/>
      <c r="GY38" s="128"/>
      <c r="GZ38" s="128"/>
      <c r="HA38" s="128"/>
      <c r="HB38" s="128"/>
      <c r="HC38" s="128"/>
      <c r="HD38" s="128"/>
      <c r="HE38" s="128"/>
      <c r="HF38" s="128"/>
      <c r="HG38" s="128"/>
      <c r="HH38" s="128"/>
      <c r="HI38" s="128"/>
      <c r="HJ38" s="128"/>
      <c r="HK38" s="128"/>
      <c r="HL38" s="128"/>
      <c r="HM38" s="128"/>
      <c r="HN38" s="128"/>
      <c r="HO38" s="128"/>
      <c r="HP38" s="128"/>
      <c r="HQ38" s="128"/>
      <c r="HR38" s="128"/>
      <c r="HS38" s="128"/>
      <c r="HT38" s="128"/>
      <c r="HU38" s="128"/>
      <c r="HV38" s="128"/>
      <c r="HW38" s="128"/>
      <c r="HX38" s="128"/>
      <c r="HY38" s="128"/>
      <c r="HZ38" s="128"/>
      <c r="IA38" s="128"/>
      <c r="IB38" s="128"/>
      <c r="IC38" s="128"/>
      <c r="ID38" s="128"/>
      <c r="IE38" s="128"/>
      <c r="IF38" s="128"/>
      <c r="IG38" s="128"/>
      <c r="IH38" s="128"/>
      <c r="II38" s="128"/>
      <c r="IJ38" s="128"/>
      <c r="IK38" s="128"/>
      <c r="IL38" s="128"/>
      <c r="IM38" s="128"/>
      <c r="IN38" s="128"/>
      <c r="IO38" s="128"/>
      <c r="IP38" s="128"/>
      <c r="IQ38" s="128"/>
      <c r="IR38" s="128"/>
      <c r="IS38" s="128"/>
      <c r="IT38" s="128"/>
      <c r="IU38" s="128"/>
    </row>
    <row r="39" ht="12.75" customHeight="1">
      <c r="A39" s="138">
        <v>39.0</v>
      </c>
      <c r="B39" s="143" t="s">
        <v>120</v>
      </c>
      <c r="C39" s="37"/>
      <c r="D39" s="37"/>
      <c r="E39" s="140">
        <v>67.0</v>
      </c>
      <c r="F39" s="141" t="str">
        <f>+F37-H38</f>
        <v>0.00</v>
      </c>
      <c r="G39" s="140">
        <v>56.0</v>
      </c>
      <c r="H39" s="142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28"/>
      <c r="DH39" s="128"/>
      <c r="DI39" s="128"/>
      <c r="DJ39" s="128"/>
      <c r="DK39" s="128"/>
      <c r="DL39" s="128"/>
      <c r="DM39" s="128"/>
      <c r="DN39" s="128"/>
      <c r="DO39" s="128"/>
      <c r="DP39" s="128"/>
      <c r="DQ39" s="128"/>
      <c r="DR39" s="128"/>
      <c r="DS39" s="128"/>
      <c r="DT39" s="128"/>
      <c r="DU39" s="128"/>
      <c r="DV39" s="128"/>
      <c r="DW39" s="128"/>
      <c r="DX39" s="128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28"/>
      <c r="EM39" s="128"/>
      <c r="EN39" s="128"/>
      <c r="EO39" s="128"/>
      <c r="EP39" s="128"/>
      <c r="EQ39" s="128"/>
      <c r="ER39" s="128"/>
      <c r="ES39" s="128"/>
      <c r="ET39" s="128"/>
      <c r="EU39" s="128"/>
      <c r="EV39" s="128"/>
      <c r="EW39" s="128"/>
      <c r="EX39" s="128"/>
      <c r="EY39" s="128"/>
      <c r="EZ39" s="128"/>
      <c r="FA39" s="128"/>
      <c r="FB39" s="128"/>
      <c r="FC39" s="128"/>
      <c r="FD39" s="128"/>
      <c r="FE39" s="128"/>
      <c r="FF39" s="128"/>
      <c r="FG39" s="128"/>
      <c r="FH39" s="128"/>
      <c r="FI39" s="128"/>
      <c r="FJ39" s="128"/>
      <c r="FK39" s="128"/>
      <c r="FL39" s="128"/>
      <c r="FM39" s="128"/>
      <c r="FN39" s="128"/>
      <c r="FO39" s="128"/>
      <c r="FP39" s="128"/>
      <c r="FQ39" s="128"/>
      <c r="FR39" s="128"/>
      <c r="FS39" s="128"/>
      <c r="FT39" s="128"/>
      <c r="FU39" s="128"/>
      <c r="FV39" s="128"/>
      <c r="FW39" s="128"/>
      <c r="FX39" s="128"/>
      <c r="FY39" s="128"/>
      <c r="FZ39" s="128"/>
      <c r="GA39" s="128"/>
      <c r="GB39" s="128"/>
      <c r="GC39" s="128"/>
      <c r="GD39" s="128"/>
      <c r="GE39" s="128"/>
      <c r="GF39" s="128"/>
      <c r="GG39" s="128"/>
      <c r="GH39" s="128"/>
      <c r="GI39" s="128"/>
      <c r="GJ39" s="128"/>
      <c r="GK39" s="128"/>
      <c r="GL39" s="128"/>
      <c r="GM39" s="128"/>
      <c r="GN39" s="128"/>
      <c r="GO39" s="128"/>
      <c r="GP39" s="128"/>
      <c r="GQ39" s="128"/>
      <c r="GR39" s="128"/>
      <c r="GS39" s="128"/>
      <c r="GT39" s="128"/>
      <c r="GU39" s="128"/>
      <c r="GV39" s="128"/>
      <c r="GW39" s="128"/>
      <c r="GX39" s="128"/>
      <c r="GY39" s="128"/>
      <c r="GZ39" s="128"/>
      <c r="HA39" s="128"/>
      <c r="HB39" s="128"/>
      <c r="HC39" s="128"/>
      <c r="HD39" s="128"/>
      <c r="HE39" s="128"/>
      <c r="HF39" s="128"/>
      <c r="HG39" s="128"/>
      <c r="HH39" s="128"/>
      <c r="HI39" s="128"/>
      <c r="HJ39" s="128"/>
      <c r="HK39" s="128"/>
      <c r="HL39" s="128"/>
      <c r="HM39" s="128"/>
      <c r="HN39" s="128"/>
      <c r="HO39" s="128"/>
      <c r="HP39" s="128"/>
      <c r="HQ39" s="128"/>
      <c r="HR39" s="128"/>
      <c r="HS39" s="128"/>
      <c r="HT39" s="128"/>
      <c r="HU39" s="128"/>
      <c r="HV39" s="128"/>
      <c r="HW39" s="128"/>
      <c r="HX39" s="128"/>
      <c r="HY39" s="128"/>
      <c r="HZ39" s="128"/>
      <c r="IA39" s="128"/>
      <c r="IB39" s="128"/>
      <c r="IC39" s="128"/>
      <c r="ID39" s="128"/>
      <c r="IE39" s="128"/>
      <c r="IF39" s="128"/>
      <c r="IG39" s="128"/>
      <c r="IH39" s="128"/>
      <c r="II39" s="128"/>
      <c r="IJ39" s="128"/>
      <c r="IK39" s="128"/>
      <c r="IL39" s="128"/>
      <c r="IM39" s="128"/>
      <c r="IN39" s="128"/>
      <c r="IO39" s="128"/>
      <c r="IP39" s="128"/>
      <c r="IQ39" s="128"/>
      <c r="IR39" s="128"/>
      <c r="IS39" s="128"/>
      <c r="IT39" s="128"/>
      <c r="IU39" s="128"/>
    </row>
    <row r="40" ht="13.5" customHeight="1">
      <c r="A40" s="149">
        <v>43.0</v>
      </c>
      <c r="B40" s="150" t="s">
        <v>121</v>
      </c>
      <c r="C40" s="151"/>
      <c r="D40" s="151"/>
      <c r="E40" s="152"/>
      <c r="F40" s="153"/>
      <c r="G40" s="154"/>
      <c r="H40" s="155" t="str">
        <f>+H33-H38</f>
        <v>-9.84</v>
      </c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  <c r="CM40" s="128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8"/>
      <c r="DB40" s="128"/>
      <c r="DC40" s="128"/>
      <c r="DD40" s="128"/>
      <c r="DE40" s="128"/>
      <c r="DF40" s="128"/>
      <c r="DG40" s="128"/>
      <c r="DH40" s="128"/>
      <c r="DI40" s="128"/>
      <c r="DJ40" s="128"/>
      <c r="DK40" s="128"/>
      <c r="DL40" s="128"/>
      <c r="DM40" s="128"/>
      <c r="DN40" s="128"/>
      <c r="DO40" s="128"/>
      <c r="DP40" s="128"/>
      <c r="DQ40" s="128"/>
      <c r="DR40" s="128"/>
      <c r="DS40" s="128"/>
      <c r="DT40" s="128"/>
      <c r="DU40" s="128"/>
      <c r="DV40" s="128"/>
      <c r="DW40" s="128"/>
      <c r="DX40" s="128"/>
      <c r="DY40" s="128"/>
      <c r="DZ40" s="128"/>
      <c r="EA40" s="128"/>
      <c r="EB40" s="128"/>
      <c r="EC40" s="128"/>
      <c r="ED40" s="128"/>
      <c r="EE40" s="128"/>
      <c r="EF40" s="128"/>
      <c r="EG40" s="128"/>
      <c r="EH40" s="128"/>
      <c r="EI40" s="128"/>
      <c r="EJ40" s="128"/>
      <c r="EK40" s="128"/>
      <c r="EL40" s="128"/>
      <c r="EM40" s="128"/>
      <c r="EN40" s="128"/>
      <c r="EO40" s="128"/>
      <c r="EP40" s="128"/>
      <c r="EQ40" s="128"/>
      <c r="ER40" s="128"/>
      <c r="ES40" s="128"/>
      <c r="ET40" s="128"/>
      <c r="EU40" s="128"/>
      <c r="EV40" s="128"/>
      <c r="EW40" s="128"/>
      <c r="EX40" s="128"/>
      <c r="EY40" s="128"/>
      <c r="EZ40" s="128"/>
      <c r="FA40" s="128"/>
      <c r="FB40" s="128"/>
      <c r="FC40" s="128"/>
      <c r="FD40" s="128"/>
      <c r="FE40" s="128"/>
      <c r="FF40" s="128"/>
      <c r="FG40" s="128"/>
      <c r="FH40" s="128"/>
      <c r="FI40" s="128"/>
      <c r="FJ40" s="128"/>
      <c r="FK40" s="128"/>
      <c r="FL40" s="128"/>
      <c r="FM40" s="128"/>
      <c r="FN40" s="128"/>
      <c r="FO40" s="128"/>
      <c r="FP40" s="128"/>
      <c r="FQ40" s="128"/>
      <c r="FR40" s="128"/>
      <c r="FS40" s="128"/>
      <c r="FT40" s="128"/>
      <c r="FU40" s="128"/>
      <c r="FV40" s="128"/>
      <c r="FW40" s="128"/>
      <c r="FX40" s="128"/>
      <c r="FY40" s="128"/>
      <c r="FZ40" s="128"/>
      <c r="GA40" s="128"/>
      <c r="GB40" s="128"/>
      <c r="GC40" s="128"/>
      <c r="GD40" s="128"/>
      <c r="GE40" s="128"/>
      <c r="GF40" s="128"/>
      <c r="GG40" s="128"/>
      <c r="GH40" s="128"/>
      <c r="GI40" s="128"/>
      <c r="GJ40" s="128"/>
      <c r="GK40" s="128"/>
      <c r="GL40" s="128"/>
      <c r="GM40" s="128"/>
      <c r="GN40" s="128"/>
      <c r="GO40" s="128"/>
      <c r="GP40" s="128"/>
      <c r="GQ40" s="128"/>
      <c r="GR40" s="128"/>
      <c r="GS40" s="128"/>
      <c r="GT40" s="128"/>
      <c r="GU40" s="128"/>
      <c r="GV40" s="128"/>
      <c r="GW40" s="128"/>
      <c r="GX40" s="128"/>
      <c r="GY40" s="128"/>
      <c r="GZ40" s="128"/>
      <c r="HA40" s="128"/>
      <c r="HB40" s="128"/>
      <c r="HC40" s="128"/>
      <c r="HD40" s="128"/>
      <c r="HE40" s="128"/>
      <c r="HF40" s="128"/>
      <c r="HG40" s="128"/>
      <c r="HH40" s="128"/>
      <c r="HI40" s="128"/>
      <c r="HJ40" s="128"/>
      <c r="HK40" s="128"/>
      <c r="HL40" s="128"/>
      <c r="HM40" s="128"/>
      <c r="HN40" s="128"/>
      <c r="HO40" s="128"/>
      <c r="HP40" s="128"/>
      <c r="HQ40" s="128"/>
      <c r="HR40" s="128"/>
      <c r="HS40" s="128"/>
      <c r="HT40" s="128"/>
      <c r="HU40" s="128"/>
      <c r="HV40" s="128"/>
      <c r="HW40" s="128"/>
      <c r="HX40" s="128"/>
      <c r="HY40" s="128"/>
      <c r="HZ40" s="128"/>
      <c r="IA40" s="128"/>
      <c r="IB40" s="128"/>
      <c r="IC40" s="128"/>
      <c r="ID40" s="128"/>
      <c r="IE40" s="128"/>
      <c r="IF40" s="128"/>
      <c r="IG40" s="128"/>
      <c r="IH40" s="128"/>
      <c r="II40" s="128"/>
      <c r="IJ40" s="128"/>
      <c r="IK40" s="128"/>
      <c r="IL40" s="128"/>
      <c r="IM40" s="128"/>
      <c r="IN40" s="128"/>
      <c r="IO40" s="128"/>
      <c r="IP40" s="128"/>
      <c r="IQ40" s="128"/>
      <c r="IR40" s="128"/>
      <c r="IS40" s="128"/>
      <c r="IT40" s="128"/>
      <c r="IU40" s="128"/>
    </row>
    <row r="41" ht="12.75" customHeight="1">
      <c r="A41" s="156"/>
      <c r="B41" s="156"/>
      <c r="C41" s="156"/>
      <c r="D41" s="156"/>
      <c r="E41" s="156"/>
      <c r="F41" s="157"/>
      <c r="G41" s="156"/>
      <c r="H41" s="15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  <c r="CM41" s="128"/>
      <c r="CN41" s="128"/>
      <c r="CO41" s="128"/>
      <c r="CP41" s="128"/>
      <c r="CQ41" s="128"/>
      <c r="CR41" s="128"/>
      <c r="CS41" s="128"/>
      <c r="CT41" s="128"/>
      <c r="CU41" s="128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28"/>
      <c r="DH41" s="128"/>
      <c r="DI41" s="128"/>
      <c r="DJ41" s="128"/>
      <c r="DK41" s="128"/>
      <c r="DL41" s="128"/>
      <c r="DM41" s="128"/>
      <c r="DN41" s="128"/>
      <c r="DO41" s="128"/>
      <c r="DP41" s="128"/>
      <c r="DQ41" s="128"/>
      <c r="DR41" s="128"/>
      <c r="DS41" s="128"/>
      <c r="DT41" s="128"/>
      <c r="DU41" s="128"/>
      <c r="DV41" s="128"/>
      <c r="DW41" s="128"/>
      <c r="DX41" s="128"/>
      <c r="DY41" s="128"/>
      <c r="DZ41" s="128"/>
      <c r="EA41" s="128"/>
      <c r="EB41" s="128"/>
      <c r="EC41" s="128"/>
      <c r="ED41" s="128"/>
      <c r="EE41" s="128"/>
      <c r="EF41" s="128"/>
      <c r="EG41" s="128"/>
      <c r="EH41" s="128"/>
      <c r="EI41" s="128"/>
      <c r="EJ41" s="128"/>
      <c r="EK41" s="128"/>
      <c r="EL41" s="128"/>
      <c r="EM41" s="128"/>
      <c r="EN41" s="128"/>
      <c r="EO41" s="128"/>
      <c r="EP41" s="128"/>
      <c r="EQ41" s="128"/>
      <c r="ER41" s="128"/>
      <c r="ES41" s="128"/>
      <c r="ET41" s="128"/>
      <c r="EU41" s="128"/>
      <c r="EV41" s="128"/>
      <c r="EW41" s="128"/>
      <c r="EX41" s="128"/>
      <c r="EY41" s="128"/>
      <c r="EZ41" s="128"/>
      <c r="FA41" s="128"/>
      <c r="FB41" s="128"/>
      <c r="FC41" s="128"/>
      <c r="FD41" s="128"/>
      <c r="FE41" s="128"/>
      <c r="FF41" s="128"/>
      <c r="FG41" s="128"/>
      <c r="FH41" s="128"/>
      <c r="FI41" s="128"/>
      <c r="FJ41" s="128"/>
      <c r="FK41" s="128"/>
      <c r="FL41" s="128"/>
      <c r="FM41" s="128"/>
      <c r="FN41" s="128"/>
      <c r="FO41" s="128"/>
      <c r="FP41" s="128"/>
      <c r="FQ41" s="128"/>
      <c r="FR41" s="128"/>
      <c r="FS41" s="128"/>
      <c r="FT41" s="128"/>
      <c r="FU41" s="128"/>
      <c r="FV41" s="128"/>
      <c r="FW41" s="128"/>
      <c r="FX41" s="128"/>
      <c r="FY41" s="128"/>
      <c r="FZ41" s="128"/>
      <c r="GA41" s="128"/>
      <c r="GB41" s="128"/>
      <c r="GC41" s="128"/>
      <c r="GD41" s="128"/>
      <c r="GE41" s="128"/>
      <c r="GF41" s="128"/>
      <c r="GG41" s="128"/>
      <c r="GH41" s="128"/>
      <c r="GI41" s="128"/>
      <c r="GJ41" s="128"/>
      <c r="GK41" s="128"/>
      <c r="GL41" s="128"/>
      <c r="GM41" s="128"/>
      <c r="GN41" s="128"/>
      <c r="GO41" s="128"/>
      <c r="GP41" s="128"/>
      <c r="GQ41" s="128"/>
      <c r="GR41" s="128"/>
      <c r="GS41" s="128"/>
      <c r="GT41" s="128"/>
      <c r="GU41" s="128"/>
      <c r="GV41" s="128"/>
      <c r="GW41" s="128"/>
      <c r="GX41" s="128"/>
      <c r="GY41" s="128"/>
      <c r="GZ41" s="128"/>
      <c r="HA41" s="128"/>
      <c r="HB41" s="128"/>
      <c r="HC41" s="128"/>
      <c r="HD41" s="128"/>
      <c r="HE41" s="128"/>
      <c r="HF41" s="128"/>
      <c r="HG41" s="128"/>
      <c r="HH41" s="128"/>
      <c r="HI41" s="128"/>
      <c r="HJ41" s="128"/>
      <c r="HK41" s="128"/>
      <c r="HL41" s="128"/>
      <c r="HM41" s="128"/>
      <c r="HN41" s="128"/>
      <c r="HO41" s="128"/>
      <c r="HP41" s="128"/>
      <c r="HQ41" s="128"/>
      <c r="HR41" s="128"/>
      <c r="HS41" s="128"/>
      <c r="HT41" s="128"/>
      <c r="HU41" s="128"/>
      <c r="HV41" s="128"/>
      <c r="HW41" s="128"/>
      <c r="HX41" s="128"/>
      <c r="HY41" s="128"/>
      <c r="HZ41" s="128"/>
      <c r="IA41" s="128"/>
      <c r="IB41" s="128"/>
      <c r="IC41" s="128"/>
      <c r="ID41" s="128"/>
      <c r="IE41" s="128"/>
      <c r="IF41" s="128"/>
      <c r="IG41" s="128"/>
      <c r="IH41" s="128"/>
      <c r="II41" s="128"/>
      <c r="IJ41" s="128"/>
      <c r="IK41" s="128"/>
      <c r="IL41" s="128"/>
      <c r="IM41" s="128"/>
      <c r="IN41" s="128"/>
      <c r="IO41" s="128"/>
      <c r="IP41" s="128"/>
      <c r="IQ41" s="128"/>
      <c r="IR41" s="128"/>
      <c r="IS41" s="128"/>
      <c r="IT41" s="128"/>
      <c r="IU41" s="128"/>
    </row>
    <row r="42" ht="12.75" customHeight="1">
      <c r="A42" s="128"/>
      <c r="B42" s="128"/>
      <c r="C42" s="128"/>
      <c r="D42" s="128"/>
      <c r="E42" s="128"/>
      <c r="F42" s="159"/>
      <c r="G42" s="160"/>
      <c r="H42" s="147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  <c r="DJ42" s="128"/>
      <c r="DK42" s="128"/>
      <c r="DL42" s="128"/>
      <c r="DM42" s="128"/>
      <c r="DN42" s="128"/>
      <c r="DO42" s="128"/>
      <c r="DP42" s="128"/>
      <c r="DQ42" s="128"/>
      <c r="DR42" s="128"/>
      <c r="DS42" s="128"/>
      <c r="DT42" s="128"/>
      <c r="DU42" s="128"/>
      <c r="DV42" s="128"/>
      <c r="DW42" s="128"/>
      <c r="DX42" s="128"/>
      <c r="DY42" s="128"/>
      <c r="DZ42" s="128"/>
      <c r="EA42" s="128"/>
      <c r="EB42" s="128"/>
      <c r="EC42" s="128"/>
      <c r="ED42" s="128"/>
      <c r="EE42" s="128"/>
      <c r="EF42" s="128"/>
      <c r="EG42" s="128"/>
      <c r="EH42" s="128"/>
      <c r="EI42" s="128"/>
      <c r="EJ42" s="128"/>
      <c r="EK42" s="128"/>
      <c r="EL42" s="128"/>
      <c r="EM42" s="128"/>
      <c r="EN42" s="128"/>
      <c r="EO42" s="128"/>
      <c r="EP42" s="128"/>
      <c r="EQ42" s="128"/>
      <c r="ER42" s="128"/>
      <c r="ES42" s="128"/>
      <c r="ET42" s="128"/>
      <c r="EU42" s="128"/>
      <c r="EV42" s="128"/>
      <c r="EW42" s="128"/>
      <c r="EX42" s="128"/>
      <c r="EY42" s="128"/>
      <c r="EZ42" s="128"/>
      <c r="FA42" s="128"/>
      <c r="FB42" s="128"/>
      <c r="FC42" s="128"/>
      <c r="FD42" s="128"/>
      <c r="FE42" s="128"/>
      <c r="FF42" s="128"/>
      <c r="FG42" s="128"/>
      <c r="FH42" s="128"/>
      <c r="FI42" s="128"/>
      <c r="FJ42" s="128"/>
      <c r="FK42" s="128"/>
      <c r="FL42" s="128"/>
      <c r="FM42" s="128"/>
      <c r="FN42" s="128"/>
      <c r="FO42" s="128"/>
      <c r="FP42" s="128"/>
      <c r="FQ42" s="128"/>
      <c r="FR42" s="128"/>
      <c r="FS42" s="128"/>
      <c r="FT42" s="128"/>
      <c r="FU42" s="128"/>
      <c r="FV42" s="128"/>
      <c r="FW42" s="128"/>
      <c r="FX42" s="128"/>
      <c r="FY42" s="128"/>
      <c r="FZ42" s="128"/>
      <c r="GA42" s="128"/>
      <c r="GB42" s="128"/>
      <c r="GC42" s="128"/>
      <c r="GD42" s="128"/>
      <c r="GE42" s="128"/>
      <c r="GF42" s="128"/>
      <c r="GG42" s="128"/>
      <c r="GH42" s="128"/>
      <c r="GI42" s="128"/>
      <c r="GJ42" s="128"/>
      <c r="GK42" s="128"/>
      <c r="GL42" s="128"/>
      <c r="GM42" s="128"/>
      <c r="GN42" s="128"/>
      <c r="GO42" s="128"/>
      <c r="GP42" s="128"/>
      <c r="GQ42" s="128"/>
      <c r="GR42" s="128"/>
      <c r="GS42" s="128"/>
      <c r="GT42" s="128"/>
      <c r="GU42" s="128"/>
      <c r="GV42" s="128"/>
      <c r="GW42" s="128"/>
      <c r="GX42" s="128"/>
      <c r="GY42" s="128"/>
      <c r="GZ42" s="128"/>
      <c r="HA42" s="128"/>
      <c r="HB42" s="128"/>
      <c r="HC42" s="128"/>
      <c r="HD42" s="128"/>
      <c r="HE42" s="128"/>
      <c r="HF42" s="128"/>
      <c r="HG42" s="128"/>
      <c r="HH42" s="128"/>
      <c r="HI42" s="128"/>
      <c r="HJ42" s="128"/>
      <c r="HK42" s="128"/>
      <c r="HL42" s="128"/>
      <c r="HM42" s="128"/>
      <c r="HN42" s="128"/>
      <c r="HO42" s="128"/>
      <c r="HP42" s="128"/>
      <c r="HQ42" s="128"/>
      <c r="HR42" s="128"/>
      <c r="HS42" s="128"/>
      <c r="HT42" s="128"/>
      <c r="HU42" s="128"/>
      <c r="HV42" s="128"/>
      <c r="HW42" s="128"/>
      <c r="HX42" s="128"/>
      <c r="HY42" s="128"/>
      <c r="HZ42" s="128"/>
      <c r="IA42" s="128"/>
      <c r="IB42" s="128"/>
      <c r="IC42" s="128"/>
      <c r="ID42" s="128"/>
      <c r="IE42" s="128"/>
      <c r="IF42" s="128"/>
      <c r="IG42" s="128"/>
      <c r="IH42" s="128"/>
      <c r="II42" s="128"/>
      <c r="IJ42" s="128"/>
      <c r="IK42" s="128"/>
      <c r="IL42" s="128"/>
      <c r="IM42" s="128"/>
      <c r="IN42" s="128"/>
      <c r="IO42" s="128"/>
      <c r="IP42" s="128"/>
      <c r="IQ42" s="128"/>
      <c r="IR42" s="128"/>
      <c r="IS42" s="128"/>
      <c r="IT42" s="128"/>
      <c r="IU42" s="128"/>
    </row>
    <row r="43" ht="12.75" customHeight="1">
      <c r="A43" s="128"/>
      <c r="B43" s="128"/>
      <c r="C43" s="128"/>
      <c r="D43" s="128"/>
      <c r="E43" s="128"/>
      <c r="F43" s="159"/>
      <c r="G43" s="128"/>
      <c r="H43" s="147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28"/>
      <c r="CB43" s="128"/>
      <c r="CC43" s="128"/>
      <c r="CD43" s="128"/>
      <c r="CE43" s="128"/>
      <c r="CF43" s="128"/>
      <c r="CG43" s="128"/>
      <c r="CH43" s="128"/>
      <c r="CI43" s="128"/>
      <c r="CJ43" s="128"/>
      <c r="CK43" s="128"/>
      <c r="CL43" s="128"/>
      <c r="CM43" s="128"/>
      <c r="CN43" s="128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8"/>
      <c r="DB43" s="128"/>
      <c r="DC43" s="128"/>
      <c r="DD43" s="128"/>
      <c r="DE43" s="128"/>
      <c r="DF43" s="128"/>
      <c r="DG43" s="128"/>
      <c r="DH43" s="128"/>
      <c r="DI43" s="128"/>
      <c r="DJ43" s="128"/>
      <c r="DK43" s="128"/>
      <c r="DL43" s="128"/>
      <c r="DM43" s="128"/>
      <c r="DN43" s="128"/>
      <c r="DO43" s="128"/>
      <c r="DP43" s="128"/>
      <c r="DQ43" s="128"/>
      <c r="DR43" s="128"/>
      <c r="DS43" s="128"/>
      <c r="DT43" s="128"/>
      <c r="DU43" s="128"/>
      <c r="DV43" s="128"/>
      <c r="DW43" s="128"/>
      <c r="DX43" s="128"/>
      <c r="DY43" s="128"/>
      <c r="DZ43" s="128"/>
      <c r="EA43" s="128"/>
      <c r="EB43" s="128"/>
      <c r="EC43" s="128"/>
      <c r="ED43" s="128"/>
      <c r="EE43" s="128"/>
      <c r="EF43" s="128"/>
      <c r="EG43" s="128"/>
      <c r="EH43" s="128"/>
      <c r="EI43" s="128"/>
      <c r="EJ43" s="128"/>
      <c r="EK43" s="128"/>
      <c r="EL43" s="128"/>
      <c r="EM43" s="128"/>
      <c r="EN43" s="128"/>
      <c r="EO43" s="128"/>
      <c r="EP43" s="128"/>
      <c r="EQ43" s="128"/>
      <c r="ER43" s="128"/>
      <c r="ES43" s="128"/>
      <c r="ET43" s="128"/>
      <c r="EU43" s="128"/>
      <c r="EV43" s="128"/>
      <c r="EW43" s="128"/>
      <c r="EX43" s="128"/>
      <c r="EY43" s="128"/>
      <c r="EZ43" s="128"/>
      <c r="FA43" s="128"/>
      <c r="FB43" s="128"/>
      <c r="FC43" s="128"/>
      <c r="FD43" s="128"/>
      <c r="FE43" s="128"/>
      <c r="FF43" s="128"/>
      <c r="FG43" s="128"/>
      <c r="FH43" s="128"/>
      <c r="FI43" s="128"/>
      <c r="FJ43" s="128"/>
      <c r="FK43" s="128"/>
      <c r="FL43" s="128"/>
      <c r="FM43" s="128"/>
      <c r="FN43" s="128"/>
      <c r="FO43" s="128"/>
      <c r="FP43" s="128"/>
      <c r="FQ43" s="128"/>
      <c r="FR43" s="128"/>
      <c r="FS43" s="128"/>
      <c r="FT43" s="128"/>
      <c r="FU43" s="128"/>
      <c r="FV43" s="128"/>
      <c r="FW43" s="128"/>
      <c r="FX43" s="128"/>
      <c r="FY43" s="128"/>
      <c r="FZ43" s="128"/>
      <c r="GA43" s="128"/>
      <c r="GB43" s="128"/>
      <c r="GC43" s="128"/>
      <c r="GD43" s="128"/>
      <c r="GE43" s="128"/>
      <c r="GF43" s="128"/>
      <c r="GG43" s="128"/>
      <c r="GH43" s="128"/>
      <c r="GI43" s="128"/>
      <c r="GJ43" s="128"/>
      <c r="GK43" s="128"/>
      <c r="GL43" s="128"/>
      <c r="GM43" s="128"/>
      <c r="GN43" s="128"/>
      <c r="GO43" s="128"/>
      <c r="GP43" s="128"/>
      <c r="GQ43" s="128"/>
      <c r="GR43" s="128"/>
      <c r="GS43" s="128"/>
      <c r="GT43" s="128"/>
      <c r="GU43" s="128"/>
      <c r="GV43" s="128"/>
      <c r="GW43" s="128"/>
      <c r="GX43" s="128"/>
      <c r="GY43" s="128"/>
      <c r="GZ43" s="128"/>
      <c r="HA43" s="128"/>
      <c r="HB43" s="128"/>
      <c r="HC43" s="128"/>
      <c r="HD43" s="128"/>
      <c r="HE43" s="128"/>
      <c r="HF43" s="128"/>
      <c r="HG43" s="128"/>
      <c r="HH43" s="128"/>
      <c r="HI43" s="128"/>
      <c r="HJ43" s="128"/>
      <c r="HK43" s="128"/>
      <c r="HL43" s="128"/>
      <c r="HM43" s="128"/>
      <c r="HN43" s="128"/>
      <c r="HO43" s="128"/>
      <c r="HP43" s="128"/>
      <c r="HQ43" s="128"/>
      <c r="HR43" s="128"/>
      <c r="HS43" s="128"/>
      <c r="HT43" s="128"/>
      <c r="HU43" s="128"/>
      <c r="HV43" s="128"/>
      <c r="HW43" s="128"/>
      <c r="HX43" s="128"/>
      <c r="HY43" s="128"/>
      <c r="HZ43" s="128"/>
      <c r="IA43" s="128"/>
      <c r="IB43" s="128"/>
      <c r="IC43" s="128"/>
      <c r="ID43" s="128"/>
      <c r="IE43" s="128"/>
      <c r="IF43" s="128"/>
      <c r="IG43" s="128"/>
      <c r="IH43" s="128"/>
      <c r="II43" s="128"/>
      <c r="IJ43" s="128"/>
      <c r="IK43" s="128"/>
      <c r="IL43" s="128"/>
      <c r="IM43" s="128"/>
      <c r="IN43" s="128"/>
      <c r="IO43" s="128"/>
      <c r="IP43" s="128"/>
      <c r="IQ43" s="128"/>
      <c r="IR43" s="128"/>
      <c r="IS43" s="128"/>
      <c r="IT43" s="128"/>
      <c r="IU43" s="128"/>
    </row>
    <row r="44" ht="12.75" customHeight="1">
      <c r="A44" s="128"/>
      <c r="B44" s="128"/>
      <c r="C44" s="128"/>
      <c r="D44" s="128"/>
      <c r="E44" s="128"/>
      <c r="F44" s="159"/>
      <c r="G44" s="128"/>
      <c r="H44" s="147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  <c r="CM44" s="128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  <c r="DJ44" s="128"/>
      <c r="DK44" s="128"/>
      <c r="DL44" s="128"/>
      <c r="DM44" s="128"/>
      <c r="DN44" s="128"/>
      <c r="DO44" s="128"/>
      <c r="DP44" s="128"/>
      <c r="DQ44" s="128"/>
      <c r="DR44" s="128"/>
      <c r="DS44" s="128"/>
      <c r="DT44" s="128"/>
      <c r="DU44" s="128"/>
      <c r="DV44" s="128"/>
      <c r="DW44" s="128"/>
      <c r="DX44" s="128"/>
      <c r="DY44" s="128"/>
      <c r="DZ44" s="128"/>
      <c r="EA44" s="128"/>
      <c r="EB44" s="128"/>
      <c r="EC44" s="128"/>
      <c r="ED44" s="128"/>
      <c r="EE44" s="128"/>
      <c r="EF44" s="128"/>
      <c r="EG44" s="128"/>
      <c r="EH44" s="128"/>
      <c r="EI44" s="128"/>
      <c r="EJ44" s="128"/>
      <c r="EK44" s="128"/>
      <c r="EL44" s="128"/>
      <c r="EM44" s="128"/>
      <c r="EN44" s="128"/>
      <c r="EO44" s="128"/>
      <c r="EP44" s="128"/>
      <c r="EQ44" s="128"/>
      <c r="ER44" s="128"/>
      <c r="ES44" s="128"/>
      <c r="ET44" s="128"/>
      <c r="EU44" s="128"/>
      <c r="EV44" s="128"/>
      <c r="EW44" s="128"/>
      <c r="EX44" s="128"/>
      <c r="EY44" s="128"/>
      <c r="EZ44" s="128"/>
      <c r="FA44" s="128"/>
      <c r="FB44" s="128"/>
      <c r="FC44" s="128"/>
      <c r="FD44" s="128"/>
      <c r="FE44" s="128"/>
      <c r="FF44" s="128"/>
      <c r="FG44" s="128"/>
      <c r="FH44" s="128"/>
      <c r="FI44" s="128"/>
      <c r="FJ44" s="128"/>
      <c r="FK44" s="128"/>
      <c r="FL44" s="128"/>
      <c r="FM44" s="128"/>
      <c r="FN44" s="128"/>
      <c r="FO44" s="128"/>
      <c r="FP44" s="128"/>
      <c r="FQ44" s="128"/>
      <c r="FR44" s="128"/>
      <c r="FS44" s="128"/>
      <c r="FT44" s="128"/>
      <c r="FU44" s="128"/>
      <c r="FV44" s="128"/>
      <c r="FW44" s="128"/>
      <c r="FX44" s="128"/>
      <c r="FY44" s="128"/>
      <c r="FZ44" s="128"/>
      <c r="GA44" s="128"/>
      <c r="GB44" s="128"/>
      <c r="GC44" s="128"/>
      <c r="GD44" s="128"/>
      <c r="GE44" s="128"/>
      <c r="GF44" s="128"/>
      <c r="GG44" s="128"/>
      <c r="GH44" s="128"/>
      <c r="GI44" s="128"/>
      <c r="GJ44" s="128"/>
      <c r="GK44" s="128"/>
      <c r="GL44" s="128"/>
      <c r="GM44" s="128"/>
      <c r="GN44" s="128"/>
      <c r="GO44" s="128"/>
      <c r="GP44" s="128"/>
      <c r="GQ44" s="128"/>
      <c r="GR44" s="128"/>
      <c r="GS44" s="128"/>
      <c r="GT44" s="128"/>
      <c r="GU44" s="128"/>
      <c r="GV44" s="128"/>
      <c r="GW44" s="128"/>
      <c r="GX44" s="128"/>
      <c r="GY44" s="128"/>
      <c r="GZ44" s="128"/>
      <c r="HA44" s="128"/>
      <c r="HB44" s="128"/>
      <c r="HC44" s="128"/>
      <c r="HD44" s="128"/>
      <c r="HE44" s="128"/>
      <c r="HF44" s="128"/>
      <c r="HG44" s="128"/>
      <c r="HH44" s="128"/>
      <c r="HI44" s="128"/>
      <c r="HJ44" s="128"/>
      <c r="HK44" s="128"/>
      <c r="HL44" s="128"/>
      <c r="HM44" s="128"/>
      <c r="HN44" s="128"/>
      <c r="HO44" s="128"/>
      <c r="HP44" s="128"/>
      <c r="HQ44" s="128"/>
      <c r="HR44" s="128"/>
      <c r="HS44" s="128"/>
      <c r="HT44" s="128"/>
      <c r="HU44" s="128"/>
      <c r="HV44" s="128"/>
      <c r="HW44" s="128"/>
      <c r="HX44" s="128"/>
      <c r="HY44" s="128"/>
      <c r="HZ44" s="128"/>
      <c r="IA44" s="128"/>
      <c r="IB44" s="128"/>
      <c r="IC44" s="128"/>
      <c r="ID44" s="128"/>
      <c r="IE44" s="128"/>
      <c r="IF44" s="128"/>
      <c r="IG44" s="128"/>
      <c r="IH44" s="128"/>
      <c r="II44" s="128"/>
      <c r="IJ44" s="128"/>
      <c r="IK44" s="128"/>
      <c r="IL44" s="128"/>
      <c r="IM44" s="128"/>
      <c r="IN44" s="128"/>
      <c r="IO44" s="128"/>
      <c r="IP44" s="128"/>
      <c r="IQ44" s="128"/>
      <c r="IR44" s="128"/>
      <c r="IS44" s="128"/>
      <c r="IT44" s="128"/>
      <c r="IU44" s="128"/>
    </row>
    <row r="45" ht="12.75" customHeight="1">
      <c r="A45" s="128"/>
      <c r="B45" s="128"/>
      <c r="C45" s="128"/>
      <c r="D45" s="128"/>
      <c r="E45" s="128"/>
      <c r="F45" s="159"/>
      <c r="G45" s="128"/>
      <c r="H45" s="147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/>
      <c r="CI45" s="128"/>
      <c r="CJ45" s="128"/>
      <c r="CK45" s="128"/>
      <c r="CL45" s="128"/>
      <c r="CM45" s="128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28"/>
      <c r="DH45" s="128"/>
      <c r="DI45" s="128"/>
      <c r="DJ45" s="128"/>
      <c r="DK45" s="128"/>
      <c r="DL45" s="128"/>
      <c r="DM45" s="128"/>
      <c r="DN45" s="128"/>
      <c r="DO45" s="128"/>
      <c r="DP45" s="128"/>
      <c r="DQ45" s="128"/>
      <c r="DR45" s="128"/>
      <c r="DS45" s="128"/>
      <c r="DT45" s="128"/>
      <c r="DU45" s="128"/>
      <c r="DV45" s="128"/>
      <c r="DW45" s="128"/>
      <c r="DX45" s="128"/>
      <c r="DY45" s="128"/>
      <c r="DZ45" s="128"/>
      <c r="EA45" s="128"/>
      <c r="EB45" s="128"/>
      <c r="EC45" s="128"/>
      <c r="ED45" s="128"/>
      <c r="EE45" s="128"/>
      <c r="EF45" s="128"/>
      <c r="EG45" s="128"/>
      <c r="EH45" s="128"/>
      <c r="EI45" s="128"/>
      <c r="EJ45" s="128"/>
      <c r="EK45" s="128"/>
      <c r="EL45" s="128"/>
      <c r="EM45" s="128"/>
      <c r="EN45" s="128"/>
      <c r="EO45" s="128"/>
      <c r="EP45" s="128"/>
      <c r="EQ45" s="128"/>
      <c r="ER45" s="128"/>
      <c r="ES45" s="128"/>
      <c r="ET45" s="128"/>
      <c r="EU45" s="128"/>
      <c r="EV45" s="128"/>
      <c r="EW45" s="128"/>
      <c r="EX45" s="128"/>
      <c r="EY45" s="128"/>
      <c r="EZ45" s="128"/>
      <c r="FA45" s="128"/>
      <c r="FB45" s="128"/>
      <c r="FC45" s="128"/>
      <c r="FD45" s="128"/>
      <c r="FE45" s="128"/>
      <c r="FF45" s="128"/>
      <c r="FG45" s="128"/>
      <c r="FH45" s="128"/>
      <c r="FI45" s="128"/>
      <c r="FJ45" s="128"/>
      <c r="FK45" s="128"/>
      <c r="FL45" s="128"/>
      <c r="FM45" s="128"/>
      <c r="FN45" s="128"/>
      <c r="FO45" s="128"/>
      <c r="FP45" s="128"/>
      <c r="FQ45" s="128"/>
      <c r="FR45" s="128"/>
      <c r="FS45" s="128"/>
      <c r="FT45" s="128"/>
      <c r="FU45" s="128"/>
      <c r="FV45" s="128"/>
      <c r="FW45" s="128"/>
      <c r="FX45" s="128"/>
      <c r="FY45" s="128"/>
      <c r="FZ45" s="128"/>
      <c r="GA45" s="128"/>
      <c r="GB45" s="128"/>
      <c r="GC45" s="128"/>
      <c r="GD45" s="128"/>
      <c r="GE45" s="128"/>
      <c r="GF45" s="128"/>
      <c r="GG45" s="128"/>
      <c r="GH45" s="128"/>
      <c r="GI45" s="128"/>
      <c r="GJ45" s="128"/>
      <c r="GK45" s="128"/>
      <c r="GL45" s="128"/>
      <c r="GM45" s="128"/>
      <c r="GN45" s="128"/>
      <c r="GO45" s="128"/>
      <c r="GP45" s="128"/>
      <c r="GQ45" s="128"/>
      <c r="GR45" s="128"/>
      <c r="GS45" s="128"/>
      <c r="GT45" s="128"/>
      <c r="GU45" s="128"/>
      <c r="GV45" s="128"/>
      <c r="GW45" s="128"/>
      <c r="GX45" s="128"/>
      <c r="GY45" s="128"/>
      <c r="GZ45" s="128"/>
      <c r="HA45" s="128"/>
      <c r="HB45" s="128"/>
      <c r="HC45" s="128"/>
      <c r="HD45" s="128"/>
      <c r="HE45" s="128"/>
      <c r="HF45" s="128"/>
      <c r="HG45" s="128"/>
      <c r="HH45" s="128"/>
      <c r="HI45" s="128"/>
      <c r="HJ45" s="128"/>
      <c r="HK45" s="128"/>
      <c r="HL45" s="128"/>
      <c r="HM45" s="128"/>
      <c r="HN45" s="128"/>
      <c r="HO45" s="128"/>
      <c r="HP45" s="128"/>
      <c r="HQ45" s="128"/>
      <c r="HR45" s="128"/>
      <c r="HS45" s="128"/>
      <c r="HT45" s="128"/>
      <c r="HU45" s="128"/>
      <c r="HV45" s="128"/>
      <c r="HW45" s="128"/>
      <c r="HX45" s="128"/>
      <c r="HY45" s="128"/>
      <c r="HZ45" s="128"/>
      <c r="IA45" s="128"/>
      <c r="IB45" s="128"/>
      <c r="IC45" s="128"/>
      <c r="ID45" s="128"/>
      <c r="IE45" s="128"/>
      <c r="IF45" s="128"/>
      <c r="IG45" s="128"/>
      <c r="IH45" s="128"/>
      <c r="II45" s="128"/>
      <c r="IJ45" s="128"/>
      <c r="IK45" s="128"/>
      <c r="IL45" s="128"/>
      <c r="IM45" s="128"/>
      <c r="IN45" s="128"/>
      <c r="IO45" s="128"/>
      <c r="IP45" s="128"/>
      <c r="IQ45" s="128"/>
      <c r="IR45" s="128"/>
      <c r="IS45" s="128"/>
      <c r="IT45" s="128"/>
      <c r="IU45" s="128"/>
    </row>
    <row r="46" ht="12.75" customHeight="1">
      <c r="A46" s="161"/>
      <c r="B46" s="161"/>
      <c r="C46" s="161"/>
      <c r="D46" s="162"/>
      <c r="E46" s="128"/>
      <c r="F46" s="159"/>
      <c r="G46" s="128"/>
      <c r="H46" s="147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  <c r="CM46" s="128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  <c r="DJ46" s="128"/>
      <c r="DK46" s="128"/>
      <c r="DL46" s="128"/>
      <c r="DM46" s="128"/>
      <c r="DN46" s="128"/>
      <c r="DO46" s="128"/>
      <c r="DP46" s="128"/>
      <c r="DQ46" s="128"/>
      <c r="DR46" s="128"/>
      <c r="DS46" s="128"/>
      <c r="DT46" s="128"/>
      <c r="DU46" s="128"/>
      <c r="DV46" s="128"/>
      <c r="DW46" s="128"/>
      <c r="DX46" s="128"/>
      <c r="DY46" s="128"/>
      <c r="DZ46" s="128"/>
      <c r="EA46" s="128"/>
      <c r="EB46" s="128"/>
      <c r="EC46" s="128"/>
      <c r="ED46" s="128"/>
      <c r="EE46" s="128"/>
      <c r="EF46" s="128"/>
      <c r="EG46" s="128"/>
      <c r="EH46" s="128"/>
      <c r="EI46" s="128"/>
      <c r="EJ46" s="128"/>
      <c r="EK46" s="128"/>
      <c r="EL46" s="128"/>
      <c r="EM46" s="128"/>
      <c r="EN46" s="128"/>
      <c r="EO46" s="128"/>
      <c r="EP46" s="128"/>
      <c r="EQ46" s="128"/>
      <c r="ER46" s="128"/>
      <c r="ES46" s="128"/>
      <c r="ET46" s="128"/>
      <c r="EU46" s="128"/>
      <c r="EV46" s="128"/>
      <c r="EW46" s="128"/>
      <c r="EX46" s="128"/>
      <c r="EY46" s="128"/>
      <c r="EZ46" s="128"/>
      <c r="FA46" s="128"/>
      <c r="FB46" s="128"/>
      <c r="FC46" s="128"/>
      <c r="FD46" s="128"/>
      <c r="FE46" s="128"/>
      <c r="FF46" s="128"/>
      <c r="FG46" s="128"/>
      <c r="FH46" s="128"/>
      <c r="FI46" s="128"/>
      <c r="FJ46" s="128"/>
      <c r="FK46" s="128"/>
      <c r="FL46" s="128"/>
      <c r="FM46" s="128"/>
      <c r="FN46" s="128"/>
      <c r="FO46" s="128"/>
      <c r="FP46" s="128"/>
      <c r="FQ46" s="128"/>
      <c r="FR46" s="128"/>
      <c r="FS46" s="128"/>
      <c r="FT46" s="128"/>
      <c r="FU46" s="128"/>
      <c r="FV46" s="128"/>
      <c r="FW46" s="128"/>
      <c r="FX46" s="128"/>
      <c r="FY46" s="128"/>
      <c r="FZ46" s="128"/>
      <c r="GA46" s="128"/>
      <c r="GB46" s="128"/>
      <c r="GC46" s="128"/>
      <c r="GD46" s="128"/>
      <c r="GE46" s="128"/>
      <c r="GF46" s="128"/>
      <c r="GG46" s="128"/>
      <c r="GH46" s="128"/>
      <c r="GI46" s="128"/>
      <c r="GJ46" s="128"/>
      <c r="GK46" s="128"/>
      <c r="GL46" s="128"/>
      <c r="GM46" s="128"/>
      <c r="GN46" s="128"/>
      <c r="GO46" s="128"/>
      <c r="GP46" s="128"/>
      <c r="GQ46" s="128"/>
      <c r="GR46" s="128"/>
      <c r="GS46" s="128"/>
      <c r="GT46" s="128"/>
      <c r="GU46" s="128"/>
      <c r="GV46" s="128"/>
      <c r="GW46" s="128"/>
      <c r="GX46" s="128"/>
      <c r="GY46" s="128"/>
      <c r="GZ46" s="128"/>
      <c r="HA46" s="128"/>
      <c r="HB46" s="128"/>
      <c r="HC46" s="128"/>
      <c r="HD46" s="128"/>
      <c r="HE46" s="128"/>
      <c r="HF46" s="128"/>
      <c r="HG46" s="128"/>
      <c r="HH46" s="128"/>
      <c r="HI46" s="128"/>
      <c r="HJ46" s="128"/>
      <c r="HK46" s="128"/>
      <c r="HL46" s="128"/>
      <c r="HM46" s="128"/>
      <c r="HN46" s="128"/>
      <c r="HO46" s="128"/>
      <c r="HP46" s="128"/>
      <c r="HQ46" s="128"/>
      <c r="HR46" s="128"/>
      <c r="HS46" s="128"/>
      <c r="HT46" s="128"/>
      <c r="HU46" s="128"/>
      <c r="HV46" s="128"/>
      <c r="HW46" s="128"/>
      <c r="HX46" s="128"/>
      <c r="HY46" s="128"/>
      <c r="HZ46" s="128"/>
      <c r="IA46" s="128"/>
      <c r="IB46" s="128"/>
      <c r="IC46" s="128"/>
      <c r="ID46" s="128"/>
      <c r="IE46" s="128"/>
      <c r="IF46" s="128"/>
      <c r="IG46" s="128"/>
      <c r="IH46" s="128"/>
      <c r="II46" s="128"/>
      <c r="IJ46" s="128"/>
      <c r="IK46" s="128"/>
      <c r="IL46" s="128"/>
      <c r="IM46" s="128"/>
      <c r="IN46" s="128"/>
      <c r="IO46" s="128"/>
      <c r="IP46" s="128"/>
      <c r="IQ46" s="128"/>
      <c r="IR46" s="128"/>
      <c r="IS46" s="128"/>
      <c r="IT46" s="128"/>
      <c r="IU46" s="128"/>
    </row>
    <row r="47" ht="12.75" customHeight="1">
      <c r="A47" s="161"/>
      <c r="B47" s="161"/>
      <c r="C47" s="161"/>
      <c r="D47" s="162"/>
      <c r="E47" s="128"/>
      <c r="F47" s="159"/>
      <c r="G47" s="128"/>
      <c r="H47" s="147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28"/>
      <c r="CG47" s="128"/>
      <c r="CH47" s="128"/>
      <c r="CI47" s="128"/>
      <c r="CJ47" s="128"/>
      <c r="CK47" s="128"/>
      <c r="CL47" s="128"/>
      <c r="CM47" s="128"/>
      <c r="CN47" s="128"/>
      <c r="CO47" s="128"/>
      <c r="CP47" s="128"/>
      <c r="CQ47" s="128"/>
      <c r="CR47" s="128"/>
      <c r="CS47" s="128"/>
      <c r="CT47" s="128"/>
      <c r="CU47" s="128"/>
      <c r="CV47" s="128"/>
      <c r="CW47" s="128"/>
      <c r="CX47" s="128"/>
      <c r="CY47" s="128"/>
      <c r="CZ47" s="128"/>
      <c r="DA47" s="128"/>
      <c r="DB47" s="128"/>
      <c r="DC47" s="128"/>
      <c r="DD47" s="128"/>
      <c r="DE47" s="128"/>
      <c r="DF47" s="128"/>
      <c r="DG47" s="128"/>
      <c r="DH47" s="128"/>
      <c r="DI47" s="128"/>
      <c r="DJ47" s="128"/>
      <c r="DK47" s="128"/>
      <c r="DL47" s="128"/>
      <c r="DM47" s="128"/>
      <c r="DN47" s="128"/>
      <c r="DO47" s="128"/>
      <c r="DP47" s="128"/>
      <c r="DQ47" s="128"/>
      <c r="DR47" s="128"/>
      <c r="DS47" s="128"/>
      <c r="DT47" s="128"/>
      <c r="DU47" s="128"/>
      <c r="DV47" s="128"/>
      <c r="DW47" s="128"/>
      <c r="DX47" s="128"/>
      <c r="DY47" s="128"/>
      <c r="DZ47" s="128"/>
      <c r="EA47" s="128"/>
      <c r="EB47" s="128"/>
      <c r="EC47" s="128"/>
      <c r="ED47" s="128"/>
      <c r="EE47" s="128"/>
      <c r="EF47" s="128"/>
      <c r="EG47" s="128"/>
      <c r="EH47" s="128"/>
      <c r="EI47" s="128"/>
      <c r="EJ47" s="128"/>
      <c r="EK47" s="128"/>
      <c r="EL47" s="128"/>
      <c r="EM47" s="128"/>
      <c r="EN47" s="128"/>
      <c r="EO47" s="128"/>
      <c r="EP47" s="128"/>
      <c r="EQ47" s="128"/>
      <c r="ER47" s="128"/>
      <c r="ES47" s="128"/>
      <c r="ET47" s="128"/>
      <c r="EU47" s="128"/>
      <c r="EV47" s="128"/>
      <c r="EW47" s="128"/>
      <c r="EX47" s="128"/>
      <c r="EY47" s="128"/>
      <c r="EZ47" s="128"/>
      <c r="FA47" s="128"/>
      <c r="FB47" s="128"/>
      <c r="FC47" s="128"/>
      <c r="FD47" s="128"/>
      <c r="FE47" s="128"/>
      <c r="FF47" s="128"/>
      <c r="FG47" s="128"/>
      <c r="FH47" s="128"/>
      <c r="FI47" s="128"/>
      <c r="FJ47" s="128"/>
      <c r="FK47" s="128"/>
      <c r="FL47" s="128"/>
      <c r="FM47" s="128"/>
      <c r="FN47" s="128"/>
      <c r="FO47" s="128"/>
      <c r="FP47" s="128"/>
      <c r="FQ47" s="128"/>
      <c r="FR47" s="128"/>
      <c r="FS47" s="128"/>
      <c r="FT47" s="128"/>
      <c r="FU47" s="128"/>
      <c r="FV47" s="128"/>
      <c r="FW47" s="128"/>
      <c r="FX47" s="128"/>
      <c r="FY47" s="128"/>
      <c r="FZ47" s="128"/>
      <c r="GA47" s="128"/>
      <c r="GB47" s="128"/>
      <c r="GC47" s="128"/>
      <c r="GD47" s="128"/>
      <c r="GE47" s="128"/>
      <c r="GF47" s="128"/>
      <c r="GG47" s="128"/>
      <c r="GH47" s="128"/>
      <c r="GI47" s="128"/>
      <c r="GJ47" s="128"/>
      <c r="GK47" s="128"/>
      <c r="GL47" s="128"/>
      <c r="GM47" s="128"/>
      <c r="GN47" s="128"/>
      <c r="GO47" s="128"/>
      <c r="GP47" s="128"/>
      <c r="GQ47" s="128"/>
      <c r="GR47" s="128"/>
      <c r="GS47" s="128"/>
      <c r="GT47" s="128"/>
      <c r="GU47" s="128"/>
      <c r="GV47" s="128"/>
      <c r="GW47" s="128"/>
      <c r="GX47" s="128"/>
      <c r="GY47" s="128"/>
      <c r="GZ47" s="128"/>
      <c r="HA47" s="128"/>
      <c r="HB47" s="128"/>
      <c r="HC47" s="128"/>
      <c r="HD47" s="128"/>
      <c r="HE47" s="128"/>
      <c r="HF47" s="128"/>
      <c r="HG47" s="128"/>
      <c r="HH47" s="128"/>
      <c r="HI47" s="128"/>
      <c r="HJ47" s="128"/>
      <c r="HK47" s="128"/>
      <c r="HL47" s="128"/>
      <c r="HM47" s="128"/>
      <c r="HN47" s="128"/>
      <c r="HO47" s="128"/>
      <c r="HP47" s="128"/>
      <c r="HQ47" s="128"/>
      <c r="HR47" s="128"/>
      <c r="HS47" s="128"/>
      <c r="HT47" s="128"/>
      <c r="HU47" s="128"/>
      <c r="HV47" s="128"/>
      <c r="HW47" s="128"/>
      <c r="HX47" s="128"/>
      <c r="HY47" s="128"/>
      <c r="HZ47" s="128"/>
      <c r="IA47" s="128"/>
      <c r="IB47" s="128"/>
      <c r="IC47" s="128"/>
      <c r="ID47" s="128"/>
      <c r="IE47" s="128"/>
      <c r="IF47" s="128"/>
      <c r="IG47" s="128"/>
      <c r="IH47" s="128"/>
      <c r="II47" s="128"/>
      <c r="IJ47" s="128"/>
      <c r="IK47" s="128"/>
      <c r="IL47" s="128"/>
      <c r="IM47" s="128"/>
      <c r="IN47" s="128"/>
      <c r="IO47" s="128"/>
      <c r="IP47" s="128"/>
      <c r="IQ47" s="128"/>
      <c r="IR47" s="128"/>
      <c r="IS47" s="128"/>
      <c r="IT47" s="128"/>
      <c r="IU47" s="128"/>
    </row>
    <row r="48" ht="12.75" customHeight="1">
      <c r="A48" s="161"/>
      <c r="B48" s="161"/>
      <c r="C48" s="161"/>
      <c r="D48" s="162"/>
      <c r="E48" s="128"/>
      <c r="F48" s="159"/>
      <c r="G48" s="128"/>
      <c r="H48" s="147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28"/>
      <c r="CG48" s="128"/>
      <c r="CH48" s="128"/>
      <c r="CI48" s="128"/>
      <c r="CJ48" s="128"/>
      <c r="CK48" s="128"/>
      <c r="CL48" s="128"/>
      <c r="CM48" s="128"/>
      <c r="CN48" s="128"/>
      <c r="CO48" s="128"/>
      <c r="CP48" s="128"/>
      <c r="CQ48" s="128"/>
      <c r="CR48" s="128"/>
      <c r="CS48" s="128"/>
      <c r="CT48" s="128"/>
      <c r="CU48" s="128"/>
      <c r="CV48" s="128"/>
      <c r="CW48" s="128"/>
      <c r="CX48" s="128"/>
      <c r="CY48" s="128"/>
      <c r="CZ48" s="128"/>
      <c r="DA48" s="128"/>
      <c r="DB48" s="128"/>
      <c r="DC48" s="128"/>
      <c r="DD48" s="128"/>
      <c r="DE48" s="128"/>
      <c r="DF48" s="128"/>
      <c r="DG48" s="128"/>
      <c r="DH48" s="128"/>
      <c r="DI48" s="128"/>
      <c r="DJ48" s="128"/>
      <c r="DK48" s="128"/>
      <c r="DL48" s="128"/>
      <c r="DM48" s="128"/>
      <c r="DN48" s="128"/>
      <c r="DO48" s="128"/>
      <c r="DP48" s="128"/>
      <c r="DQ48" s="128"/>
      <c r="DR48" s="128"/>
      <c r="DS48" s="128"/>
      <c r="DT48" s="128"/>
      <c r="DU48" s="128"/>
      <c r="DV48" s="128"/>
      <c r="DW48" s="128"/>
      <c r="DX48" s="128"/>
      <c r="DY48" s="128"/>
      <c r="DZ48" s="128"/>
      <c r="EA48" s="128"/>
      <c r="EB48" s="128"/>
      <c r="EC48" s="128"/>
      <c r="ED48" s="128"/>
      <c r="EE48" s="128"/>
      <c r="EF48" s="128"/>
      <c r="EG48" s="128"/>
      <c r="EH48" s="128"/>
      <c r="EI48" s="128"/>
      <c r="EJ48" s="128"/>
      <c r="EK48" s="128"/>
      <c r="EL48" s="128"/>
      <c r="EM48" s="128"/>
      <c r="EN48" s="128"/>
      <c r="EO48" s="128"/>
      <c r="EP48" s="128"/>
      <c r="EQ48" s="128"/>
      <c r="ER48" s="128"/>
      <c r="ES48" s="128"/>
      <c r="ET48" s="128"/>
      <c r="EU48" s="128"/>
      <c r="EV48" s="128"/>
      <c r="EW48" s="128"/>
      <c r="EX48" s="128"/>
      <c r="EY48" s="128"/>
      <c r="EZ48" s="128"/>
      <c r="FA48" s="128"/>
      <c r="FB48" s="128"/>
      <c r="FC48" s="128"/>
      <c r="FD48" s="128"/>
      <c r="FE48" s="128"/>
      <c r="FF48" s="128"/>
      <c r="FG48" s="128"/>
      <c r="FH48" s="128"/>
      <c r="FI48" s="128"/>
      <c r="FJ48" s="128"/>
      <c r="FK48" s="128"/>
      <c r="FL48" s="128"/>
      <c r="FM48" s="128"/>
      <c r="FN48" s="128"/>
      <c r="FO48" s="128"/>
      <c r="FP48" s="128"/>
      <c r="FQ48" s="128"/>
      <c r="FR48" s="128"/>
      <c r="FS48" s="128"/>
      <c r="FT48" s="128"/>
      <c r="FU48" s="128"/>
      <c r="FV48" s="128"/>
      <c r="FW48" s="128"/>
      <c r="FX48" s="128"/>
      <c r="FY48" s="128"/>
      <c r="FZ48" s="128"/>
      <c r="GA48" s="128"/>
      <c r="GB48" s="128"/>
      <c r="GC48" s="128"/>
      <c r="GD48" s="128"/>
      <c r="GE48" s="128"/>
      <c r="GF48" s="128"/>
      <c r="GG48" s="128"/>
      <c r="GH48" s="128"/>
      <c r="GI48" s="128"/>
      <c r="GJ48" s="128"/>
      <c r="GK48" s="128"/>
      <c r="GL48" s="128"/>
      <c r="GM48" s="128"/>
      <c r="GN48" s="128"/>
      <c r="GO48" s="128"/>
      <c r="GP48" s="128"/>
      <c r="GQ48" s="128"/>
      <c r="GR48" s="128"/>
      <c r="GS48" s="128"/>
      <c r="GT48" s="128"/>
      <c r="GU48" s="128"/>
      <c r="GV48" s="128"/>
      <c r="GW48" s="128"/>
      <c r="GX48" s="128"/>
      <c r="GY48" s="128"/>
      <c r="GZ48" s="128"/>
      <c r="HA48" s="128"/>
      <c r="HB48" s="128"/>
      <c r="HC48" s="128"/>
      <c r="HD48" s="128"/>
      <c r="HE48" s="128"/>
      <c r="HF48" s="128"/>
      <c r="HG48" s="128"/>
      <c r="HH48" s="128"/>
      <c r="HI48" s="128"/>
      <c r="HJ48" s="128"/>
      <c r="HK48" s="128"/>
      <c r="HL48" s="128"/>
      <c r="HM48" s="128"/>
      <c r="HN48" s="128"/>
      <c r="HO48" s="128"/>
      <c r="HP48" s="128"/>
      <c r="HQ48" s="128"/>
      <c r="HR48" s="128"/>
      <c r="HS48" s="128"/>
      <c r="HT48" s="128"/>
      <c r="HU48" s="128"/>
      <c r="HV48" s="128"/>
      <c r="HW48" s="128"/>
      <c r="HX48" s="128"/>
      <c r="HY48" s="128"/>
      <c r="HZ48" s="128"/>
      <c r="IA48" s="128"/>
      <c r="IB48" s="128"/>
      <c r="IC48" s="128"/>
      <c r="ID48" s="128"/>
      <c r="IE48" s="128"/>
      <c r="IF48" s="128"/>
      <c r="IG48" s="128"/>
      <c r="IH48" s="128"/>
      <c r="II48" s="128"/>
      <c r="IJ48" s="128"/>
      <c r="IK48" s="128"/>
      <c r="IL48" s="128"/>
      <c r="IM48" s="128"/>
      <c r="IN48" s="128"/>
      <c r="IO48" s="128"/>
      <c r="IP48" s="128"/>
      <c r="IQ48" s="128"/>
      <c r="IR48" s="128"/>
      <c r="IS48" s="128"/>
      <c r="IT48" s="128"/>
      <c r="IU48" s="128"/>
    </row>
    <row r="49" ht="12.75" customHeight="1">
      <c r="A49" s="161"/>
      <c r="B49" s="161"/>
      <c r="C49" s="161"/>
      <c r="D49" s="162"/>
      <c r="E49" s="128"/>
      <c r="F49" s="159"/>
      <c r="G49" s="128"/>
      <c r="H49" s="147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128"/>
      <c r="CS49" s="128"/>
      <c r="CT49" s="128"/>
      <c r="CU49" s="128"/>
      <c r="CV49" s="128"/>
      <c r="CW49" s="128"/>
      <c r="CX49" s="128"/>
      <c r="CY49" s="128"/>
      <c r="CZ49" s="128"/>
      <c r="DA49" s="128"/>
      <c r="DB49" s="128"/>
      <c r="DC49" s="128"/>
      <c r="DD49" s="128"/>
      <c r="DE49" s="128"/>
      <c r="DF49" s="128"/>
      <c r="DG49" s="128"/>
      <c r="DH49" s="128"/>
      <c r="DI49" s="128"/>
      <c r="DJ49" s="128"/>
      <c r="DK49" s="128"/>
      <c r="DL49" s="128"/>
      <c r="DM49" s="128"/>
      <c r="DN49" s="128"/>
      <c r="DO49" s="128"/>
      <c r="DP49" s="128"/>
      <c r="DQ49" s="128"/>
      <c r="DR49" s="128"/>
      <c r="DS49" s="128"/>
      <c r="DT49" s="128"/>
      <c r="DU49" s="128"/>
      <c r="DV49" s="128"/>
      <c r="DW49" s="128"/>
      <c r="DX49" s="128"/>
      <c r="DY49" s="128"/>
      <c r="DZ49" s="128"/>
      <c r="EA49" s="128"/>
      <c r="EB49" s="128"/>
      <c r="EC49" s="128"/>
      <c r="ED49" s="128"/>
      <c r="EE49" s="128"/>
      <c r="EF49" s="128"/>
      <c r="EG49" s="128"/>
      <c r="EH49" s="128"/>
      <c r="EI49" s="128"/>
      <c r="EJ49" s="128"/>
      <c r="EK49" s="128"/>
      <c r="EL49" s="128"/>
      <c r="EM49" s="128"/>
      <c r="EN49" s="128"/>
      <c r="EO49" s="128"/>
      <c r="EP49" s="128"/>
      <c r="EQ49" s="128"/>
      <c r="ER49" s="128"/>
      <c r="ES49" s="128"/>
      <c r="ET49" s="128"/>
      <c r="EU49" s="128"/>
      <c r="EV49" s="128"/>
      <c r="EW49" s="128"/>
      <c r="EX49" s="128"/>
      <c r="EY49" s="128"/>
      <c r="EZ49" s="128"/>
      <c r="FA49" s="128"/>
      <c r="FB49" s="128"/>
      <c r="FC49" s="128"/>
      <c r="FD49" s="128"/>
      <c r="FE49" s="128"/>
      <c r="FF49" s="128"/>
      <c r="FG49" s="128"/>
      <c r="FH49" s="128"/>
      <c r="FI49" s="128"/>
      <c r="FJ49" s="128"/>
      <c r="FK49" s="128"/>
      <c r="FL49" s="128"/>
      <c r="FM49" s="128"/>
      <c r="FN49" s="128"/>
      <c r="FO49" s="128"/>
      <c r="FP49" s="128"/>
      <c r="FQ49" s="128"/>
      <c r="FR49" s="128"/>
      <c r="FS49" s="128"/>
      <c r="FT49" s="128"/>
      <c r="FU49" s="128"/>
      <c r="FV49" s="128"/>
      <c r="FW49" s="128"/>
      <c r="FX49" s="128"/>
      <c r="FY49" s="128"/>
      <c r="FZ49" s="128"/>
      <c r="GA49" s="128"/>
      <c r="GB49" s="128"/>
      <c r="GC49" s="128"/>
      <c r="GD49" s="128"/>
      <c r="GE49" s="128"/>
      <c r="GF49" s="128"/>
      <c r="GG49" s="128"/>
      <c r="GH49" s="128"/>
      <c r="GI49" s="128"/>
      <c r="GJ49" s="128"/>
      <c r="GK49" s="128"/>
      <c r="GL49" s="128"/>
      <c r="GM49" s="128"/>
      <c r="GN49" s="128"/>
      <c r="GO49" s="128"/>
      <c r="GP49" s="128"/>
      <c r="GQ49" s="128"/>
      <c r="GR49" s="128"/>
      <c r="GS49" s="128"/>
      <c r="GT49" s="128"/>
      <c r="GU49" s="128"/>
      <c r="GV49" s="128"/>
      <c r="GW49" s="128"/>
      <c r="GX49" s="128"/>
      <c r="GY49" s="128"/>
      <c r="GZ49" s="128"/>
      <c r="HA49" s="128"/>
      <c r="HB49" s="128"/>
      <c r="HC49" s="128"/>
      <c r="HD49" s="128"/>
      <c r="HE49" s="128"/>
      <c r="HF49" s="128"/>
      <c r="HG49" s="128"/>
      <c r="HH49" s="128"/>
      <c r="HI49" s="128"/>
      <c r="HJ49" s="128"/>
      <c r="HK49" s="128"/>
      <c r="HL49" s="128"/>
      <c r="HM49" s="128"/>
      <c r="HN49" s="128"/>
      <c r="HO49" s="128"/>
      <c r="HP49" s="128"/>
      <c r="HQ49" s="128"/>
      <c r="HR49" s="128"/>
      <c r="HS49" s="128"/>
      <c r="HT49" s="128"/>
      <c r="HU49" s="128"/>
      <c r="HV49" s="128"/>
      <c r="HW49" s="128"/>
      <c r="HX49" s="128"/>
      <c r="HY49" s="128"/>
      <c r="HZ49" s="128"/>
      <c r="IA49" s="128"/>
      <c r="IB49" s="128"/>
      <c r="IC49" s="128"/>
      <c r="ID49" s="128"/>
      <c r="IE49" s="128"/>
      <c r="IF49" s="128"/>
      <c r="IG49" s="128"/>
      <c r="IH49" s="128"/>
      <c r="II49" s="128"/>
      <c r="IJ49" s="128"/>
      <c r="IK49" s="128"/>
      <c r="IL49" s="128"/>
      <c r="IM49" s="128"/>
      <c r="IN49" s="128"/>
      <c r="IO49" s="128"/>
      <c r="IP49" s="128"/>
      <c r="IQ49" s="128"/>
      <c r="IR49" s="128"/>
      <c r="IS49" s="128"/>
      <c r="IT49" s="128"/>
      <c r="IU49" s="128"/>
    </row>
    <row r="50" ht="12.75" customHeight="1">
      <c r="A50" s="161"/>
      <c r="B50" s="161"/>
      <c r="C50" s="161"/>
      <c r="D50" s="162"/>
      <c r="E50" s="128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159"/>
      <c r="DJ50" s="159"/>
      <c r="DK50" s="159"/>
      <c r="DL50" s="159"/>
      <c r="DM50" s="159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59"/>
      <c r="EG50" s="159"/>
      <c r="EH50" s="159"/>
      <c r="EI50" s="159"/>
      <c r="EJ50" s="159"/>
      <c r="EK50" s="159"/>
      <c r="EL50" s="159"/>
      <c r="EM50" s="159"/>
      <c r="EN50" s="159"/>
      <c r="EO50" s="159"/>
      <c r="EP50" s="159"/>
      <c r="EQ50" s="159"/>
      <c r="ER50" s="159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59"/>
      <c r="FL50" s="159"/>
      <c r="FM50" s="159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59"/>
      <c r="GL50" s="159"/>
      <c r="GM50" s="159"/>
      <c r="GN50" s="159"/>
      <c r="GO50" s="159"/>
      <c r="GP50" s="159"/>
      <c r="GQ50" s="159"/>
      <c r="GR50" s="159"/>
      <c r="GS50" s="159"/>
      <c r="GT50" s="159"/>
      <c r="GU50" s="159"/>
      <c r="GV50" s="159"/>
      <c r="GW50" s="159"/>
      <c r="GX50" s="159"/>
      <c r="GY50" s="159"/>
      <c r="GZ50" s="159"/>
      <c r="HA50" s="159"/>
      <c r="HB50" s="159"/>
      <c r="HC50" s="159"/>
      <c r="HD50" s="159"/>
      <c r="HE50" s="159"/>
      <c r="HF50" s="159"/>
      <c r="HG50" s="159"/>
      <c r="HH50" s="159"/>
      <c r="HI50" s="159"/>
      <c r="HJ50" s="159"/>
      <c r="HK50" s="159"/>
      <c r="HL50" s="159"/>
      <c r="HM50" s="159"/>
      <c r="HN50" s="159"/>
      <c r="HO50" s="159"/>
      <c r="HP50" s="159"/>
      <c r="HQ50" s="159"/>
      <c r="HR50" s="159"/>
      <c r="HS50" s="159"/>
      <c r="HT50" s="159"/>
      <c r="HU50" s="159"/>
      <c r="HV50" s="159"/>
      <c r="HW50" s="159"/>
      <c r="HX50" s="159"/>
      <c r="HY50" s="159"/>
      <c r="HZ50" s="159"/>
      <c r="IA50" s="159"/>
      <c r="IB50" s="159"/>
      <c r="IC50" s="159"/>
      <c r="ID50" s="159"/>
      <c r="IE50" s="159"/>
      <c r="IF50" s="159"/>
      <c r="IG50" s="159"/>
      <c r="IH50" s="159"/>
      <c r="II50" s="159"/>
      <c r="IJ50" s="159"/>
      <c r="IK50" s="159"/>
      <c r="IL50" s="159"/>
      <c r="IM50" s="159"/>
      <c r="IN50" s="159"/>
      <c r="IO50" s="159"/>
      <c r="IP50" s="159"/>
      <c r="IQ50" s="159"/>
      <c r="IR50" s="159"/>
      <c r="IS50" s="159"/>
      <c r="IT50" s="159"/>
      <c r="IU50" s="159"/>
    </row>
    <row r="51" ht="12.75" customHeight="1">
      <c r="A51" s="161"/>
      <c r="B51" s="161"/>
      <c r="C51" s="161"/>
      <c r="D51" s="162"/>
      <c r="E51" s="128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59"/>
      <c r="EG51" s="159"/>
      <c r="EH51" s="159"/>
      <c r="EI51" s="159"/>
      <c r="EJ51" s="159"/>
      <c r="EK51" s="159"/>
      <c r="EL51" s="159"/>
      <c r="EM51" s="159"/>
      <c r="EN51" s="159"/>
      <c r="EO51" s="159"/>
      <c r="EP51" s="159"/>
      <c r="EQ51" s="159"/>
      <c r="ER51" s="159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59"/>
      <c r="FL51" s="159"/>
      <c r="FM51" s="159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59"/>
      <c r="GL51" s="159"/>
      <c r="GM51" s="159"/>
      <c r="GN51" s="159"/>
      <c r="GO51" s="159"/>
      <c r="GP51" s="159"/>
      <c r="GQ51" s="159"/>
      <c r="GR51" s="159"/>
      <c r="GS51" s="159"/>
      <c r="GT51" s="159"/>
      <c r="GU51" s="159"/>
      <c r="GV51" s="159"/>
      <c r="GW51" s="159"/>
      <c r="GX51" s="159"/>
      <c r="GY51" s="159"/>
      <c r="GZ51" s="159"/>
      <c r="HA51" s="159"/>
      <c r="HB51" s="159"/>
      <c r="HC51" s="159"/>
      <c r="HD51" s="159"/>
      <c r="HE51" s="159"/>
      <c r="HF51" s="159"/>
      <c r="HG51" s="159"/>
      <c r="HH51" s="159"/>
      <c r="HI51" s="159"/>
      <c r="HJ51" s="159"/>
      <c r="HK51" s="159"/>
      <c r="HL51" s="159"/>
      <c r="HM51" s="159"/>
      <c r="HN51" s="159"/>
      <c r="HO51" s="159"/>
      <c r="HP51" s="159"/>
      <c r="HQ51" s="159"/>
      <c r="HR51" s="159"/>
      <c r="HS51" s="159"/>
      <c r="HT51" s="159"/>
      <c r="HU51" s="159"/>
      <c r="HV51" s="159"/>
      <c r="HW51" s="159"/>
      <c r="HX51" s="159"/>
      <c r="HY51" s="159"/>
      <c r="HZ51" s="159"/>
      <c r="IA51" s="159"/>
      <c r="IB51" s="159"/>
      <c r="IC51" s="159"/>
      <c r="ID51" s="159"/>
      <c r="IE51" s="159"/>
      <c r="IF51" s="159"/>
      <c r="IG51" s="159"/>
      <c r="IH51" s="159"/>
      <c r="II51" s="159"/>
      <c r="IJ51" s="159"/>
      <c r="IK51" s="159"/>
      <c r="IL51" s="159"/>
      <c r="IM51" s="159"/>
      <c r="IN51" s="159"/>
      <c r="IO51" s="159"/>
      <c r="IP51" s="159"/>
      <c r="IQ51" s="159"/>
      <c r="IR51" s="159"/>
      <c r="IS51" s="159"/>
      <c r="IT51" s="159"/>
      <c r="IU51" s="159"/>
    </row>
    <row r="52" ht="12.75" customHeight="1">
      <c r="A52" s="161"/>
      <c r="B52" s="161"/>
      <c r="C52" s="161"/>
      <c r="D52" s="162"/>
      <c r="E52" s="128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59"/>
      <c r="EG52" s="159"/>
      <c r="EH52" s="159"/>
      <c r="EI52" s="159"/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  <c r="GO52" s="159"/>
      <c r="GP52" s="159"/>
      <c r="GQ52" s="159"/>
      <c r="GR52" s="159"/>
      <c r="GS52" s="159"/>
      <c r="GT52" s="159"/>
      <c r="GU52" s="159"/>
      <c r="GV52" s="159"/>
      <c r="GW52" s="159"/>
      <c r="GX52" s="159"/>
      <c r="GY52" s="159"/>
      <c r="GZ52" s="159"/>
      <c r="HA52" s="159"/>
      <c r="HB52" s="159"/>
      <c r="HC52" s="159"/>
      <c r="HD52" s="159"/>
      <c r="HE52" s="159"/>
      <c r="HF52" s="159"/>
      <c r="HG52" s="159"/>
      <c r="HH52" s="159"/>
      <c r="HI52" s="159"/>
      <c r="HJ52" s="159"/>
      <c r="HK52" s="159"/>
      <c r="HL52" s="159"/>
      <c r="HM52" s="159"/>
      <c r="HN52" s="159"/>
      <c r="HO52" s="159"/>
      <c r="HP52" s="159"/>
      <c r="HQ52" s="159"/>
      <c r="HR52" s="159"/>
      <c r="HS52" s="159"/>
      <c r="HT52" s="159"/>
      <c r="HU52" s="159"/>
      <c r="HV52" s="159"/>
      <c r="HW52" s="159"/>
      <c r="HX52" s="159"/>
      <c r="HY52" s="159"/>
      <c r="HZ52" s="159"/>
      <c r="IA52" s="159"/>
      <c r="IB52" s="159"/>
      <c r="IC52" s="159"/>
      <c r="ID52" s="159"/>
      <c r="IE52" s="159"/>
      <c r="IF52" s="159"/>
      <c r="IG52" s="159"/>
      <c r="IH52" s="159"/>
      <c r="II52" s="159"/>
      <c r="IJ52" s="159"/>
      <c r="IK52" s="159"/>
      <c r="IL52" s="159"/>
      <c r="IM52" s="159"/>
      <c r="IN52" s="159"/>
      <c r="IO52" s="159"/>
      <c r="IP52" s="159"/>
      <c r="IQ52" s="159"/>
      <c r="IR52" s="159"/>
      <c r="IS52" s="159"/>
      <c r="IT52" s="159"/>
      <c r="IU52" s="159"/>
    </row>
    <row r="53" ht="12.75" customHeight="1">
      <c r="A53" s="163"/>
      <c r="B53" s="161"/>
      <c r="C53" s="161"/>
      <c r="D53" s="162"/>
      <c r="E53" s="128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59"/>
      <c r="EG53" s="159"/>
      <c r="EH53" s="159"/>
      <c r="EI53" s="159"/>
      <c r="EJ53" s="159"/>
      <c r="EK53" s="159"/>
      <c r="EL53" s="159"/>
      <c r="EM53" s="159"/>
      <c r="EN53" s="159"/>
      <c r="EO53" s="159"/>
      <c r="EP53" s="159"/>
      <c r="EQ53" s="159"/>
      <c r="ER53" s="159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59"/>
      <c r="FL53" s="159"/>
      <c r="FM53" s="159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59"/>
      <c r="GL53" s="159"/>
      <c r="GM53" s="159"/>
      <c r="GN53" s="159"/>
      <c r="GO53" s="159"/>
      <c r="GP53" s="159"/>
      <c r="GQ53" s="159"/>
      <c r="GR53" s="159"/>
      <c r="GS53" s="159"/>
      <c r="GT53" s="159"/>
      <c r="GU53" s="159"/>
      <c r="GV53" s="159"/>
      <c r="GW53" s="159"/>
      <c r="GX53" s="159"/>
      <c r="GY53" s="159"/>
      <c r="GZ53" s="159"/>
      <c r="HA53" s="159"/>
      <c r="HB53" s="159"/>
      <c r="HC53" s="159"/>
      <c r="HD53" s="159"/>
      <c r="HE53" s="159"/>
      <c r="HF53" s="159"/>
      <c r="HG53" s="159"/>
      <c r="HH53" s="159"/>
      <c r="HI53" s="159"/>
      <c r="HJ53" s="159"/>
      <c r="HK53" s="159"/>
      <c r="HL53" s="159"/>
      <c r="HM53" s="159"/>
      <c r="HN53" s="159"/>
      <c r="HO53" s="159"/>
      <c r="HP53" s="159"/>
      <c r="HQ53" s="159"/>
      <c r="HR53" s="159"/>
      <c r="HS53" s="159"/>
      <c r="HT53" s="159"/>
      <c r="HU53" s="159"/>
      <c r="HV53" s="159"/>
      <c r="HW53" s="159"/>
      <c r="HX53" s="159"/>
      <c r="HY53" s="159"/>
      <c r="HZ53" s="159"/>
      <c r="IA53" s="159"/>
      <c r="IB53" s="159"/>
      <c r="IC53" s="159"/>
      <c r="ID53" s="159"/>
      <c r="IE53" s="159"/>
      <c r="IF53" s="159"/>
      <c r="IG53" s="159"/>
      <c r="IH53" s="159"/>
      <c r="II53" s="159"/>
      <c r="IJ53" s="159"/>
      <c r="IK53" s="159"/>
      <c r="IL53" s="159"/>
      <c r="IM53" s="159"/>
      <c r="IN53" s="159"/>
      <c r="IO53" s="159"/>
      <c r="IP53" s="159"/>
      <c r="IQ53" s="159"/>
      <c r="IR53" s="159"/>
      <c r="IS53" s="159"/>
      <c r="IT53" s="159"/>
      <c r="IU53" s="159"/>
    </row>
    <row r="54" ht="12.75" customHeight="1">
      <c r="A54" s="161"/>
      <c r="B54" s="161"/>
      <c r="C54" s="161"/>
      <c r="D54" s="164"/>
      <c r="E54" s="128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59"/>
      <c r="EO54" s="159"/>
      <c r="EP54" s="159"/>
      <c r="EQ54" s="159"/>
      <c r="ER54" s="159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59"/>
      <c r="FL54" s="159"/>
      <c r="FM54" s="159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59"/>
      <c r="GL54" s="159"/>
      <c r="GM54" s="159"/>
      <c r="GN54" s="159"/>
      <c r="GO54" s="159"/>
      <c r="GP54" s="159"/>
      <c r="GQ54" s="159"/>
      <c r="GR54" s="159"/>
      <c r="GS54" s="159"/>
      <c r="GT54" s="159"/>
      <c r="GU54" s="159"/>
      <c r="GV54" s="159"/>
      <c r="GW54" s="159"/>
      <c r="GX54" s="159"/>
      <c r="GY54" s="159"/>
      <c r="GZ54" s="159"/>
      <c r="HA54" s="159"/>
      <c r="HB54" s="159"/>
      <c r="HC54" s="159"/>
      <c r="HD54" s="159"/>
      <c r="HE54" s="159"/>
      <c r="HF54" s="159"/>
      <c r="HG54" s="159"/>
      <c r="HH54" s="159"/>
      <c r="HI54" s="159"/>
      <c r="HJ54" s="159"/>
      <c r="HK54" s="159"/>
      <c r="HL54" s="159"/>
      <c r="HM54" s="159"/>
      <c r="HN54" s="159"/>
      <c r="HO54" s="159"/>
      <c r="HP54" s="159"/>
      <c r="HQ54" s="159"/>
      <c r="HR54" s="159"/>
      <c r="HS54" s="159"/>
      <c r="HT54" s="159"/>
      <c r="HU54" s="159"/>
      <c r="HV54" s="159"/>
      <c r="HW54" s="159"/>
      <c r="HX54" s="159"/>
      <c r="HY54" s="159"/>
      <c r="HZ54" s="159"/>
      <c r="IA54" s="159"/>
      <c r="IB54" s="159"/>
      <c r="IC54" s="159"/>
      <c r="ID54" s="159"/>
      <c r="IE54" s="159"/>
      <c r="IF54" s="159"/>
      <c r="IG54" s="159"/>
      <c r="IH54" s="159"/>
      <c r="II54" s="159"/>
      <c r="IJ54" s="159"/>
      <c r="IK54" s="159"/>
      <c r="IL54" s="159"/>
      <c r="IM54" s="159"/>
      <c r="IN54" s="159"/>
      <c r="IO54" s="159"/>
      <c r="IP54" s="159"/>
      <c r="IQ54" s="159"/>
      <c r="IR54" s="159"/>
      <c r="IS54" s="159"/>
      <c r="IT54" s="159"/>
      <c r="IU54" s="159"/>
    </row>
    <row r="55" ht="12.75" customHeight="1">
      <c r="A55" s="161"/>
      <c r="B55" s="161"/>
      <c r="C55" s="161"/>
      <c r="D55" s="164"/>
      <c r="E55" s="128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  <c r="GO55" s="159"/>
      <c r="GP55" s="159"/>
      <c r="GQ55" s="159"/>
      <c r="GR55" s="159"/>
      <c r="GS55" s="159"/>
      <c r="GT55" s="159"/>
      <c r="GU55" s="159"/>
      <c r="GV55" s="159"/>
      <c r="GW55" s="159"/>
      <c r="GX55" s="159"/>
      <c r="GY55" s="159"/>
      <c r="GZ55" s="159"/>
      <c r="HA55" s="159"/>
      <c r="HB55" s="159"/>
      <c r="HC55" s="159"/>
      <c r="HD55" s="159"/>
      <c r="HE55" s="159"/>
      <c r="HF55" s="159"/>
      <c r="HG55" s="159"/>
      <c r="HH55" s="159"/>
      <c r="HI55" s="159"/>
      <c r="HJ55" s="159"/>
      <c r="HK55" s="159"/>
      <c r="HL55" s="159"/>
      <c r="HM55" s="159"/>
      <c r="HN55" s="159"/>
      <c r="HO55" s="159"/>
      <c r="HP55" s="159"/>
      <c r="HQ55" s="159"/>
      <c r="HR55" s="159"/>
      <c r="HS55" s="159"/>
      <c r="HT55" s="159"/>
      <c r="HU55" s="159"/>
      <c r="HV55" s="159"/>
      <c r="HW55" s="159"/>
      <c r="HX55" s="159"/>
      <c r="HY55" s="159"/>
      <c r="HZ55" s="159"/>
      <c r="IA55" s="159"/>
      <c r="IB55" s="159"/>
      <c r="IC55" s="159"/>
      <c r="ID55" s="159"/>
      <c r="IE55" s="159"/>
      <c r="IF55" s="159"/>
      <c r="IG55" s="159"/>
      <c r="IH55" s="159"/>
      <c r="II55" s="159"/>
      <c r="IJ55" s="159"/>
      <c r="IK55" s="159"/>
      <c r="IL55" s="159"/>
      <c r="IM55" s="159"/>
      <c r="IN55" s="159"/>
      <c r="IO55" s="159"/>
      <c r="IP55" s="159"/>
      <c r="IQ55" s="159"/>
      <c r="IR55" s="159"/>
      <c r="IS55" s="159"/>
      <c r="IT55" s="159"/>
      <c r="IU55" s="159"/>
    </row>
    <row r="56" ht="12.75" customHeight="1">
      <c r="A56" s="161"/>
      <c r="B56" s="161"/>
      <c r="C56" s="161"/>
      <c r="D56" s="162"/>
      <c r="E56" s="128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  <c r="GO56" s="159"/>
      <c r="GP56" s="159"/>
      <c r="GQ56" s="159"/>
      <c r="GR56" s="159"/>
      <c r="GS56" s="159"/>
      <c r="GT56" s="159"/>
      <c r="GU56" s="159"/>
      <c r="GV56" s="159"/>
      <c r="GW56" s="159"/>
      <c r="GX56" s="159"/>
      <c r="GY56" s="159"/>
      <c r="GZ56" s="159"/>
      <c r="HA56" s="159"/>
      <c r="HB56" s="159"/>
      <c r="HC56" s="159"/>
      <c r="HD56" s="159"/>
      <c r="HE56" s="159"/>
      <c r="HF56" s="159"/>
      <c r="HG56" s="159"/>
      <c r="HH56" s="159"/>
      <c r="HI56" s="159"/>
      <c r="HJ56" s="159"/>
      <c r="HK56" s="159"/>
      <c r="HL56" s="159"/>
      <c r="HM56" s="159"/>
      <c r="HN56" s="159"/>
      <c r="HO56" s="159"/>
      <c r="HP56" s="159"/>
      <c r="HQ56" s="159"/>
      <c r="HR56" s="159"/>
      <c r="HS56" s="159"/>
      <c r="HT56" s="159"/>
      <c r="HU56" s="159"/>
      <c r="HV56" s="159"/>
      <c r="HW56" s="159"/>
      <c r="HX56" s="159"/>
      <c r="HY56" s="159"/>
      <c r="HZ56" s="159"/>
      <c r="IA56" s="159"/>
      <c r="IB56" s="159"/>
      <c r="IC56" s="159"/>
      <c r="ID56" s="159"/>
      <c r="IE56" s="159"/>
      <c r="IF56" s="159"/>
      <c r="IG56" s="159"/>
      <c r="IH56" s="159"/>
      <c r="II56" s="159"/>
      <c r="IJ56" s="159"/>
      <c r="IK56" s="159"/>
      <c r="IL56" s="159"/>
      <c r="IM56" s="159"/>
      <c r="IN56" s="159"/>
      <c r="IO56" s="159"/>
      <c r="IP56" s="159"/>
      <c r="IQ56" s="159"/>
      <c r="IR56" s="159"/>
      <c r="IS56" s="159"/>
      <c r="IT56" s="159"/>
      <c r="IU56" s="159"/>
    </row>
    <row r="57" ht="12.75" customHeight="1">
      <c r="A57" s="161"/>
      <c r="B57" s="161"/>
      <c r="C57" s="161"/>
      <c r="D57" s="162"/>
      <c r="E57" s="128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59"/>
      <c r="EG57" s="159"/>
      <c r="EH57" s="159"/>
      <c r="EI57" s="159"/>
      <c r="EJ57" s="159"/>
      <c r="EK57" s="159"/>
      <c r="EL57" s="159"/>
      <c r="EM57" s="159"/>
      <c r="EN57" s="159"/>
      <c r="EO57" s="159"/>
      <c r="EP57" s="159"/>
      <c r="EQ57" s="159"/>
      <c r="ER57" s="159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59"/>
      <c r="FL57" s="159"/>
      <c r="FM57" s="159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59"/>
      <c r="GL57" s="159"/>
      <c r="GM57" s="159"/>
      <c r="GN57" s="159"/>
      <c r="GO57" s="159"/>
      <c r="GP57" s="159"/>
      <c r="GQ57" s="159"/>
      <c r="GR57" s="159"/>
      <c r="GS57" s="159"/>
      <c r="GT57" s="159"/>
      <c r="GU57" s="159"/>
      <c r="GV57" s="159"/>
      <c r="GW57" s="159"/>
      <c r="GX57" s="159"/>
      <c r="GY57" s="159"/>
      <c r="GZ57" s="159"/>
      <c r="HA57" s="159"/>
      <c r="HB57" s="159"/>
      <c r="HC57" s="159"/>
      <c r="HD57" s="159"/>
      <c r="HE57" s="159"/>
      <c r="HF57" s="159"/>
      <c r="HG57" s="159"/>
      <c r="HH57" s="159"/>
      <c r="HI57" s="159"/>
      <c r="HJ57" s="159"/>
      <c r="HK57" s="159"/>
      <c r="HL57" s="159"/>
      <c r="HM57" s="159"/>
      <c r="HN57" s="159"/>
      <c r="HO57" s="159"/>
      <c r="HP57" s="159"/>
      <c r="HQ57" s="159"/>
      <c r="HR57" s="159"/>
      <c r="HS57" s="159"/>
      <c r="HT57" s="159"/>
      <c r="HU57" s="159"/>
      <c r="HV57" s="159"/>
      <c r="HW57" s="159"/>
      <c r="HX57" s="159"/>
      <c r="HY57" s="159"/>
      <c r="HZ57" s="159"/>
      <c r="IA57" s="159"/>
      <c r="IB57" s="159"/>
      <c r="IC57" s="159"/>
      <c r="ID57" s="159"/>
      <c r="IE57" s="159"/>
      <c r="IF57" s="159"/>
      <c r="IG57" s="159"/>
      <c r="IH57" s="159"/>
      <c r="II57" s="159"/>
      <c r="IJ57" s="159"/>
      <c r="IK57" s="159"/>
      <c r="IL57" s="159"/>
      <c r="IM57" s="159"/>
      <c r="IN57" s="159"/>
      <c r="IO57" s="159"/>
      <c r="IP57" s="159"/>
      <c r="IQ57" s="159"/>
      <c r="IR57" s="159"/>
      <c r="IS57" s="159"/>
      <c r="IT57" s="159"/>
      <c r="IU57" s="159"/>
    </row>
    <row r="58" ht="12.75" customHeight="1">
      <c r="A58" s="165"/>
      <c r="E58" s="128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159"/>
      <c r="DJ58" s="159"/>
      <c r="DK58" s="159"/>
      <c r="DL58" s="159"/>
      <c r="DM58" s="159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59"/>
      <c r="EG58" s="159"/>
      <c r="EH58" s="159"/>
      <c r="EI58" s="159"/>
      <c r="EJ58" s="159"/>
      <c r="EK58" s="159"/>
      <c r="EL58" s="159"/>
      <c r="EM58" s="159"/>
      <c r="EN58" s="159"/>
      <c r="EO58" s="159"/>
      <c r="EP58" s="159"/>
      <c r="EQ58" s="159"/>
      <c r="ER58" s="159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59"/>
      <c r="FL58" s="159"/>
      <c r="FM58" s="159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59"/>
      <c r="GL58" s="159"/>
      <c r="GM58" s="159"/>
      <c r="GN58" s="159"/>
      <c r="GO58" s="159"/>
      <c r="GP58" s="159"/>
      <c r="GQ58" s="159"/>
      <c r="GR58" s="159"/>
      <c r="GS58" s="159"/>
      <c r="GT58" s="159"/>
      <c r="GU58" s="159"/>
      <c r="GV58" s="159"/>
      <c r="GW58" s="159"/>
      <c r="GX58" s="159"/>
      <c r="GY58" s="159"/>
      <c r="GZ58" s="159"/>
      <c r="HA58" s="159"/>
      <c r="HB58" s="159"/>
      <c r="HC58" s="159"/>
      <c r="HD58" s="159"/>
      <c r="HE58" s="159"/>
      <c r="HF58" s="159"/>
      <c r="HG58" s="159"/>
      <c r="HH58" s="159"/>
      <c r="HI58" s="159"/>
      <c r="HJ58" s="159"/>
      <c r="HK58" s="159"/>
      <c r="HL58" s="159"/>
      <c r="HM58" s="159"/>
      <c r="HN58" s="159"/>
      <c r="HO58" s="159"/>
      <c r="HP58" s="159"/>
      <c r="HQ58" s="159"/>
      <c r="HR58" s="159"/>
      <c r="HS58" s="159"/>
      <c r="HT58" s="159"/>
      <c r="HU58" s="159"/>
      <c r="HV58" s="159"/>
      <c r="HW58" s="159"/>
      <c r="HX58" s="159"/>
      <c r="HY58" s="159"/>
      <c r="HZ58" s="159"/>
      <c r="IA58" s="159"/>
      <c r="IB58" s="159"/>
      <c r="IC58" s="159"/>
      <c r="ID58" s="159"/>
      <c r="IE58" s="159"/>
      <c r="IF58" s="159"/>
      <c r="IG58" s="159"/>
      <c r="IH58" s="159"/>
      <c r="II58" s="159"/>
      <c r="IJ58" s="159"/>
      <c r="IK58" s="159"/>
      <c r="IL58" s="159"/>
      <c r="IM58" s="159"/>
      <c r="IN58" s="159"/>
      <c r="IO58" s="159"/>
      <c r="IP58" s="159"/>
      <c r="IQ58" s="159"/>
      <c r="IR58" s="159"/>
      <c r="IS58" s="159"/>
      <c r="IT58" s="159"/>
      <c r="IU58" s="159"/>
    </row>
    <row r="59" ht="12.75" customHeight="1">
      <c r="A59" s="166"/>
      <c r="E59" s="128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59"/>
      <c r="EG59" s="159"/>
      <c r="EH59" s="159"/>
      <c r="EI59" s="159"/>
      <c r="EJ59" s="159"/>
      <c r="EK59" s="159"/>
      <c r="EL59" s="159"/>
      <c r="EM59" s="159"/>
      <c r="EN59" s="159"/>
      <c r="EO59" s="159"/>
      <c r="EP59" s="159"/>
      <c r="EQ59" s="159"/>
      <c r="ER59" s="159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59"/>
      <c r="FL59" s="159"/>
      <c r="FM59" s="159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59"/>
      <c r="GL59" s="159"/>
      <c r="GM59" s="159"/>
      <c r="GN59" s="159"/>
      <c r="GO59" s="159"/>
      <c r="GP59" s="159"/>
      <c r="GQ59" s="159"/>
      <c r="GR59" s="159"/>
      <c r="GS59" s="159"/>
      <c r="GT59" s="159"/>
      <c r="GU59" s="159"/>
      <c r="GV59" s="159"/>
      <c r="GW59" s="159"/>
      <c r="GX59" s="159"/>
      <c r="GY59" s="159"/>
      <c r="GZ59" s="159"/>
      <c r="HA59" s="159"/>
      <c r="HB59" s="159"/>
      <c r="HC59" s="159"/>
      <c r="HD59" s="159"/>
      <c r="HE59" s="159"/>
      <c r="HF59" s="159"/>
      <c r="HG59" s="159"/>
      <c r="HH59" s="159"/>
      <c r="HI59" s="159"/>
      <c r="HJ59" s="159"/>
      <c r="HK59" s="159"/>
      <c r="HL59" s="159"/>
      <c r="HM59" s="159"/>
      <c r="HN59" s="159"/>
      <c r="HO59" s="159"/>
      <c r="HP59" s="159"/>
      <c r="HQ59" s="159"/>
      <c r="HR59" s="159"/>
      <c r="HS59" s="159"/>
      <c r="HT59" s="159"/>
      <c r="HU59" s="159"/>
      <c r="HV59" s="159"/>
      <c r="HW59" s="159"/>
      <c r="HX59" s="159"/>
      <c r="HY59" s="159"/>
      <c r="HZ59" s="159"/>
      <c r="IA59" s="159"/>
      <c r="IB59" s="159"/>
      <c r="IC59" s="159"/>
      <c r="ID59" s="159"/>
      <c r="IE59" s="159"/>
      <c r="IF59" s="159"/>
      <c r="IG59" s="159"/>
      <c r="IH59" s="159"/>
      <c r="II59" s="159"/>
      <c r="IJ59" s="159"/>
      <c r="IK59" s="159"/>
      <c r="IL59" s="159"/>
      <c r="IM59" s="159"/>
      <c r="IN59" s="159"/>
      <c r="IO59" s="159"/>
      <c r="IP59" s="159"/>
      <c r="IQ59" s="159"/>
      <c r="IR59" s="159"/>
      <c r="IS59" s="159"/>
      <c r="IT59" s="159"/>
      <c r="IU59" s="159"/>
    </row>
    <row r="60" ht="12.75" customHeight="1">
      <c r="A60" s="161"/>
      <c r="B60" s="161"/>
      <c r="C60" s="161"/>
      <c r="D60" s="162"/>
      <c r="E60" s="128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59"/>
      <c r="EG60" s="159"/>
      <c r="EH60" s="159"/>
      <c r="EI60" s="159"/>
      <c r="EJ60" s="159"/>
      <c r="EK60" s="159"/>
      <c r="EL60" s="159"/>
      <c r="EM60" s="159"/>
      <c r="EN60" s="159"/>
      <c r="EO60" s="159"/>
      <c r="EP60" s="159"/>
      <c r="EQ60" s="159"/>
      <c r="ER60" s="159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59"/>
      <c r="FL60" s="159"/>
      <c r="FM60" s="159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59"/>
      <c r="GL60" s="159"/>
      <c r="GM60" s="159"/>
      <c r="GN60" s="159"/>
      <c r="GO60" s="159"/>
      <c r="GP60" s="159"/>
      <c r="GQ60" s="159"/>
      <c r="GR60" s="159"/>
      <c r="GS60" s="159"/>
      <c r="GT60" s="159"/>
      <c r="GU60" s="159"/>
      <c r="GV60" s="159"/>
      <c r="GW60" s="159"/>
      <c r="GX60" s="159"/>
      <c r="GY60" s="159"/>
      <c r="GZ60" s="159"/>
      <c r="HA60" s="159"/>
      <c r="HB60" s="159"/>
      <c r="HC60" s="159"/>
      <c r="HD60" s="159"/>
      <c r="HE60" s="159"/>
      <c r="HF60" s="159"/>
      <c r="HG60" s="159"/>
      <c r="HH60" s="159"/>
      <c r="HI60" s="159"/>
      <c r="HJ60" s="159"/>
      <c r="HK60" s="159"/>
      <c r="HL60" s="159"/>
      <c r="HM60" s="159"/>
      <c r="HN60" s="159"/>
      <c r="HO60" s="159"/>
      <c r="HP60" s="159"/>
      <c r="HQ60" s="159"/>
      <c r="HR60" s="159"/>
      <c r="HS60" s="159"/>
      <c r="HT60" s="159"/>
      <c r="HU60" s="159"/>
      <c r="HV60" s="159"/>
      <c r="HW60" s="159"/>
      <c r="HX60" s="159"/>
      <c r="HY60" s="159"/>
      <c r="HZ60" s="159"/>
      <c r="IA60" s="159"/>
      <c r="IB60" s="159"/>
      <c r="IC60" s="159"/>
      <c r="ID60" s="159"/>
      <c r="IE60" s="159"/>
      <c r="IF60" s="159"/>
      <c r="IG60" s="159"/>
      <c r="IH60" s="159"/>
      <c r="II60" s="159"/>
      <c r="IJ60" s="159"/>
      <c r="IK60" s="159"/>
      <c r="IL60" s="159"/>
      <c r="IM60" s="159"/>
      <c r="IN60" s="159"/>
      <c r="IO60" s="159"/>
      <c r="IP60" s="159"/>
      <c r="IQ60" s="159"/>
      <c r="IR60" s="159"/>
      <c r="IS60" s="159"/>
      <c r="IT60" s="159"/>
      <c r="IU60" s="159"/>
    </row>
    <row r="61" ht="12.75" customHeight="1">
      <c r="A61" s="161"/>
      <c r="B61" s="161"/>
      <c r="C61" s="161"/>
      <c r="D61" s="162"/>
      <c r="E61" s="128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59"/>
      <c r="EG61" s="159"/>
      <c r="EH61" s="159"/>
      <c r="EI61" s="159"/>
      <c r="EJ61" s="159"/>
      <c r="EK61" s="159"/>
      <c r="EL61" s="159"/>
      <c r="EM61" s="159"/>
      <c r="EN61" s="159"/>
      <c r="EO61" s="159"/>
      <c r="EP61" s="159"/>
      <c r="EQ61" s="159"/>
      <c r="ER61" s="159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59"/>
      <c r="FL61" s="159"/>
      <c r="FM61" s="159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59"/>
      <c r="GL61" s="159"/>
      <c r="GM61" s="159"/>
      <c r="GN61" s="159"/>
      <c r="GO61" s="159"/>
      <c r="GP61" s="159"/>
      <c r="GQ61" s="159"/>
      <c r="GR61" s="159"/>
      <c r="GS61" s="159"/>
      <c r="GT61" s="159"/>
      <c r="GU61" s="159"/>
      <c r="GV61" s="159"/>
      <c r="GW61" s="159"/>
      <c r="GX61" s="159"/>
      <c r="GY61" s="159"/>
      <c r="GZ61" s="159"/>
      <c r="HA61" s="159"/>
      <c r="HB61" s="159"/>
      <c r="HC61" s="159"/>
      <c r="HD61" s="159"/>
      <c r="HE61" s="159"/>
      <c r="HF61" s="159"/>
      <c r="HG61" s="159"/>
      <c r="HH61" s="159"/>
      <c r="HI61" s="159"/>
      <c r="HJ61" s="159"/>
      <c r="HK61" s="159"/>
      <c r="HL61" s="159"/>
      <c r="HM61" s="159"/>
      <c r="HN61" s="159"/>
      <c r="HO61" s="159"/>
      <c r="HP61" s="159"/>
      <c r="HQ61" s="159"/>
      <c r="HR61" s="159"/>
      <c r="HS61" s="159"/>
      <c r="HT61" s="159"/>
      <c r="HU61" s="159"/>
      <c r="HV61" s="159"/>
      <c r="HW61" s="159"/>
      <c r="HX61" s="159"/>
      <c r="HY61" s="159"/>
      <c r="HZ61" s="159"/>
      <c r="IA61" s="159"/>
      <c r="IB61" s="159"/>
      <c r="IC61" s="159"/>
      <c r="ID61" s="159"/>
      <c r="IE61" s="159"/>
      <c r="IF61" s="159"/>
      <c r="IG61" s="159"/>
      <c r="IH61" s="159"/>
      <c r="II61" s="159"/>
      <c r="IJ61" s="159"/>
      <c r="IK61" s="159"/>
      <c r="IL61" s="159"/>
      <c r="IM61" s="159"/>
      <c r="IN61" s="159"/>
      <c r="IO61" s="159"/>
      <c r="IP61" s="159"/>
      <c r="IQ61" s="159"/>
      <c r="IR61" s="159"/>
      <c r="IS61" s="159"/>
      <c r="IT61" s="159"/>
      <c r="IU61" s="159"/>
    </row>
    <row r="62" ht="12.75" customHeight="1">
      <c r="A62" s="161"/>
      <c r="B62" s="161"/>
      <c r="C62" s="161"/>
      <c r="D62" s="162"/>
      <c r="E62" s="128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159"/>
      <c r="FC62" s="159"/>
      <c r="FD62" s="159"/>
      <c r="FE62" s="159"/>
      <c r="FF62" s="159"/>
      <c r="FG62" s="159"/>
      <c r="FH62" s="159"/>
      <c r="FI62" s="159"/>
      <c r="FJ62" s="159"/>
      <c r="FK62" s="159"/>
      <c r="FL62" s="159"/>
      <c r="FM62" s="159"/>
      <c r="FN62" s="159"/>
      <c r="FO62" s="159"/>
      <c r="FP62" s="159"/>
      <c r="FQ62" s="159"/>
      <c r="FR62" s="159"/>
      <c r="FS62" s="159"/>
      <c r="FT62" s="159"/>
      <c r="FU62" s="159"/>
      <c r="FV62" s="159"/>
      <c r="FW62" s="159"/>
      <c r="FX62" s="159"/>
      <c r="FY62" s="159"/>
      <c r="FZ62" s="159"/>
      <c r="GA62" s="159"/>
      <c r="GB62" s="159"/>
      <c r="GC62" s="159"/>
      <c r="GD62" s="159"/>
      <c r="GE62" s="159"/>
      <c r="GF62" s="159"/>
      <c r="GG62" s="159"/>
      <c r="GH62" s="159"/>
      <c r="GI62" s="159"/>
      <c r="GJ62" s="159"/>
      <c r="GK62" s="159"/>
      <c r="GL62" s="159"/>
      <c r="GM62" s="159"/>
      <c r="GN62" s="159"/>
      <c r="GO62" s="159"/>
      <c r="GP62" s="159"/>
      <c r="GQ62" s="159"/>
      <c r="GR62" s="159"/>
      <c r="GS62" s="159"/>
      <c r="GT62" s="159"/>
      <c r="GU62" s="159"/>
      <c r="GV62" s="159"/>
      <c r="GW62" s="159"/>
      <c r="GX62" s="159"/>
      <c r="GY62" s="159"/>
      <c r="GZ62" s="159"/>
      <c r="HA62" s="159"/>
      <c r="HB62" s="159"/>
      <c r="HC62" s="159"/>
      <c r="HD62" s="159"/>
      <c r="HE62" s="159"/>
      <c r="HF62" s="159"/>
      <c r="HG62" s="159"/>
      <c r="HH62" s="159"/>
      <c r="HI62" s="159"/>
      <c r="HJ62" s="159"/>
      <c r="HK62" s="159"/>
      <c r="HL62" s="159"/>
      <c r="HM62" s="159"/>
      <c r="HN62" s="159"/>
      <c r="HO62" s="159"/>
      <c r="HP62" s="159"/>
      <c r="HQ62" s="159"/>
      <c r="HR62" s="159"/>
      <c r="HS62" s="159"/>
      <c r="HT62" s="159"/>
      <c r="HU62" s="159"/>
      <c r="HV62" s="159"/>
      <c r="HW62" s="159"/>
      <c r="HX62" s="159"/>
      <c r="HY62" s="159"/>
      <c r="HZ62" s="159"/>
      <c r="IA62" s="159"/>
      <c r="IB62" s="159"/>
      <c r="IC62" s="159"/>
      <c r="ID62" s="159"/>
      <c r="IE62" s="159"/>
      <c r="IF62" s="159"/>
      <c r="IG62" s="159"/>
      <c r="IH62" s="159"/>
      <c r="II62" s="159"/>
      <c r="IJ62" s="159"/>
      <c r="IK62" s="159"/>
      <c r="IL62" s="159"/>
      <c r="IM62" s="159"/>
      <c r="IN62" s="159"/>
      <c r="IO62" s="159"/>
      <c r="IP62" s="159"/>
      <c r="IQ62" s="159"/>
      <c r="IR62" s="159"/>
      <c r="IS62" s="159"/>
      <c r="IT62" s="159"/>
      <c r="IU62" s="159"/>
    </row>
    <row r="63" ht="12.75" customHeight="1">
      <c r="A63" s="161"/>
      <c r="B63" s="161"/>
      <c r="C63" s="161"/>
      <c r="D63" s="162"/>
      <c r="E63" s="128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59"/>
      <c r="EG63" s="159"/>
      <c r="EH63" s="159"/>
      <c r="EI63" s="159"/>
      <c r="EJ63" s="159"/>
      <c r="EK63" s="159"/>
      <c r="EL63" s="159"/>
      <c r="EM63" s="159"/>
      <c r="EN63" s="159"/>
      <c r="EO63" s="159"/>
      <c r="EP63" s="159"/>
      <c r="EQ63" s="159"/>
      <c r="ER63" s="159"/>
      <c r="ES63" s="159"/>
      <c r="ET63" s="159"/>
      <c r="EU63" s="159"/>
      <c r="EV63" s="159"/>
      <c r="EW63" s="159"/>
      <c r="EX63" s="159"/>
      <c r="EY63" s="159"/>
      <c r="EZ63" s="159"/>
      <c r="FA63" s="159"/>
      <c r="FB63" s="159"/>
      <c r="FC63" s="159"/>
      <c r="FD63" s="159"/>
      <c r="FE63" s="159"/>
      <c r="FF63" s="159"/>
      <c r="FG63" s="159"/>
      <c r="FH63" s="159"/>
      <c r="FI63" s="159"/>
      <c r="FJ63" s="159"/>
      <c r="FK63" s="159"/>
      <c r="FL63" s="159"/>
      <c r="FM63" s="159"/>
      <c r="FN63" s="159"/>
      <c r="FO63" s="159"/>
      <c r="FP63" s="159"/>
      <c r="FQ63" s="159"/>
      <c r="FR63" s="159"/>
      <c r="FS63" s="159"/>
      <c r="FT63" s="159"/>
      <c r="FU63" s="159"/>
      <c r="FV63" s="159"/>
      <c r="FW63" s="159"/>
      <c r="FX63" s="159"/>
      <c r="FY63" s="159"/>
      <c r="FZ63" s="159"/>
      <c r="GA63" s="159"/>
      <c r="GB63" s="159"/>
      <c r="GC63" s="159"/>
      <c r="GD63" s="159"/>
      <c r="GE63" s="159"/>
      <c r="GF63" s="159"/>
      <c r="GG63" s="159"/>
      <c r="GH63" s="159"/>
      <c r="GI63" s="159"/>
      <c r="GJ63" s="159"/>
      <c r="GK63" s="159"/>
      <c r="GL63" s="159"/>
      <c r="GM63" s="159"/>
      <c r="GN63" s="159"/>
      <c r="GO63" s="159"/>
      <c r="GP63" s="159"/>
      <c r="GQ63" s="159"/>
      <c r="GR63" s="159"/>
      <c r="GS63" s="159"/>
      <c r="GT63" s="159"/>
      <c r="GU63" s="159"/>
      <c r="GV63" s="159"/>
      <c r="GW63" s="159"/>
      <c r="GX63" s="159"/>
      <c r="GY63" s="159"/>
      <c r="GZ63" s="159"/>
      <c r="HA63" s="159"/>
      <c r="HB63" s="159"/>
      <c r="HC63" s="159"/>
      <c r="HD63" s="159"/>
      <c r="HE63" s="159"/>
      <c r="HF63" s="159"/>
      <c r="HG63" s="159"/>
      <c r="HH63" s="159"/>
      <c r="HI63" s="159"/>
      <c r="HJ63" s="159"/>
      <c r="HK63" s="159"/>
      <c r="HL63" s="159"/>
      <c r="HM63" s="159"/>
      <c r="HN63" s="159"/>
      <c r="HO63" s="159"/>
      <c r="HP63" s="159"/>
      <c r="HQ63" s="159"/>
      <c r="HR63" s="159"/>
      <c r="HS63" s="159"/>
      <c r="HT63" s="159"/>
      <c r="HU63" s="159"/>
      <c r="HV63" s="159"/>
      <c r="HW63" s="159"/>
      <c r="HX63" s="159"/>
      <c r="HY63" s="159"/>
      <c r="HZ63" s="159"/>
      <c r="IA63" s="159"/>
      <c r="IB63" s="159"/>
      <c r="IC63" s="159"/>
      <c r="ID63" s="159"/>
      <c r="IE63" s="159"/>
      <c r="IF63" s="159"/>
      <c r="IG63" s="159"/>
      <c r="IH63" s="159"/>
      <c r="II63" s="159"/>
      <c r="IJ63" s="159"/>
      <c r="IK63" s="159"/>
      <c r="IL63" s="159"/>
      <c r="IM63" s="159"/>
      <c r="IN63" s="159"/>
      <c r="IO63" s="159"/>
      <c r="IP63" s="159"/>
      <c r="IQ63" s="159"/>
      <c r="IR63" s="159"/>
      <c r="IS63" s="159"/>
      <c r="IT63" s="159"/>
      <c r="IU63" s="159"/>
    </row>
    <row r="64" ht="12.75" customHeight="1">
      <c r="A64" s="161"/>
      <c r="B64" s="128"/>
      <c r="C64" s="128"/>
      <c r="D64" s="162"/>
      <c r="E64" s="128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  <c r="GO64" s="159"/>
      <c r="GP64" s="159"/>
      <c r="GQ64" s="159"/>
      <c r="GR64" s="159"/>
      <c r="GS64" s="159"/>
      <c r="GT64" s="159"/>
      <c r="GU64" s="159"/>
      <c r="GV64" s="159"/>
      <c r="GW64" s="159"/>
      <c r="GX64" s="159"/>
      <c r="GY64" s="159"/>
      <c r="GZ64" s="159"/>
      <c r="HA64" s="159"/>
      <c r="HB64" s="159"/>
      <c r="HC64" s="159"/>
      <c r="HD64" s="159"/>
      <c r="HE64" s="159"/>
      <c r="HF64" s="159"/>
      <c r="HG64" s="159"/>
      <c r="HH64" s="159"/>
      <c r="HI64" s="159"/>
      <c r="HJ64" s="159"/>
      <c r="HK64" s="159"/>
      <c r="HL64" s="159"/>
      <c r="HM64" s="159"/>
      <c r="HN64" s="159"/>
      <c r="HO64" s="159"/>
      <c r="HP64" s="159"/>
      <c r="HQ64" s="159"/>
      <c r="HR64" s="159"/>
      <c r="HS64" s="159"/>
      <c r="HT64" s="159"/>
      <c r="HU64" s="159"/>
      <c r="HV64" s="159"/>
      <c r="HW64" s="159"/>
      <c r="HX64" s="159"/>
      <c r="HY64" s="159"/>
      <c r="HZ64" s="159"/>
      <c r="IA64" s="159"/>
      <c r="IB64" s="159"/>
      <c r="IC64" s="159"/>
      <c r="ID64" s="159"/>
      <c r="IE64" s="159"/>
      <c r="IF64" s="159"/>
      <c r="IG64" s="159"/>
      <c r="IH64" s="159"/>
      <c r="II64" s="159"/>
      <c r="IJ64" s="159"/>
      <c r="IK64" s="159"/>
      <c r="IL64" s="159"/>
      <c r="IM64" s="159"/>
      <c r="IN64" s="159"/>
      <c r="IO64" s="159"/>
      <c r="IP64" s="159"/>
      <c r="IQ64" s="159"/>
      <c r="IR64" s="159"/>
      <c r="IS64" s="159"/>
      <c r="IT64" s="159"/>
      <c r="IU64" s="159"/>
    </row>
    <row r="65" ht="12.75" customHeight="1">
      <c r="A65" s="161"/>
      <c r="B65" s="128"/>
      <c r="C65" s="128"/>
      <c r="D65" s="162"/>
      <c r="E65" s="147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59"/>
      <c r="EG65" s="159"/>
      <c r="EH65" s="159"/>
      <c r="EI65" s="159"/>
      <c r="EJ65" s="159"/>
      <c r="EK65" s="159"/>
      <c r="EL65" s="159"/>
      <c r="EM65" s="159"/>
      <c r="EN65" s="159"/>
      <c r="EO65" s="159"/>
      <c r="EP65" s="159"/>
      <c r="EQ65" s="159"/>
      <c r="ER65" s="159"/>
      <c r="ES65" s="159"/>
      <c r="ET65" s="159"/>
      <c r="EU65" s="159"/>
      <c r="EV65" s="159"/>
      <c r="EW65" s="159"/>
      <c r="EX65" s="159"/>
      <c r="EY65" s="159"/>
      <c r="EZ65" s="159"/>
      <c r="FA65" s="159"/>
      <c r="FB65" s="159"/>
      <c r="FC65" s="159"/>
      <c r="FD65" s="159"/>
      <c r="FE65" s="159"/>
      <c r="FF65" s="159"/>
      <c r="FG65" s="159"/>
      <c r="FH65" s="159"/>
      <c r="FI65" s="159"/>
      <c r="FJ65" s="159"/>
      <c r="FK65" s="159"/>
      <c r="FL65" s="159"/>
      <c r="FM65" s="159"/>
      <c r="FN65" s="159"/>
      <c r="FO65" s="159"/>
      <c r="FP65" s="159"/>
      <c r="FQ65" s="159"/>
      <c r="FR65" s="159"/>
      <c r="FS65" s="159"/>
      <c r="FT65" s="159"/>
      <c r="FU65" s="159"/>
      <c r="FV65" s="159"/>
      <c r="FW65" s="159"/>
      <c r="FX65" s="159"/>
      <c r="FY65" s="159"/>
      <c r="FZ65" s="159"/>
      <c r="GA65" s="159"/>
      <c r="GB65" s="159"/>
      <c r="GC65" s="159"/>
      <c r="GD65" s="159"/>
      <c r="GE65" s="159"/>
      <c r="GF65" s="159"/>
      <c r="GG65" s="159"/>
      <c r="GH65" s="159"/>
      <c r="GI65" s="159"/>
      <c r="GJ65" s="159"/>
      <c r="GK65" s="159"/>
      <c r="GL65" s="159"/>
      <c r="GM65" s="159"/>
      <c r="GN65" s="159"/>
      <c r="GO65" s="159"/>
      <c r="GP65" s="159"/>
      <c r="GQ65" s="159"/>
      <c r="GR65" s="159"/>
      <c r="GS65" s="159"/>
      <c r="GT65" s="159"/>
      <c r="GU65" s="159"/>
      <c r="GV65" s="159"/>
      <c r="GW65" s="159"/>
      <c r="GX65" s="159"/>
      <c r="GY65" s="159"/>
      <c r="GZ65" s="159"/>
      <c r="HA65" s="159"/>
      <c r="HB65" s="159"/>
      <c r="HC65" s="159"/>
      <c r="HD65" s="159"/>
      <c r="HE65" s="159"/>
      <c r="HF65" s="159"/>
      <c r="HG65" s="159"/>
      <c r="HH65" s="159"/>
      <c r="HI65" s="159"/>
      <c r="HJ65" s="159"/>
      <c r="HK65" s="159"/>
      <c r="HL65" s="159"/>
      <c r="HM65" s="159"/>
      <c r="HN65" s="159"/>
      <c r="HO65" s="159"/>
      <c r="HP65" s="159"/>
      <c r="HQ65" s="159"/>
      <c r="HR65" s="159"/>
      <c r="HS65" s="159"/>
      <c r="HT65" s="159"/>
      <c r="HU65" s="159"/>
      <c r="HV65" s="159"/>
      <c r="HW65" s="159"/>
      <c r="HX65" s="159"/>
      <c r="HY65" s="159"/>
      <c r="HZ65" s="159"/>
      <c r="IA65" s="159"/>
      <c r="IB65" s="159"/>
      <c r="IC65" s="159"/>
      <c r="ID65" s="159"/>
      <c r="IE65" s="159"/>
      <c r="IF65" s="159"/>
      <c r="IG65" s="159"/>
      <c r="IH65" s="159"/>
      <c r="II65" s="159"/>
      <c r="IJ65" s="159"/>
      <c r="IK65" s="159"/>
      <c r="IL65" s="159"/>
      <c r="IM65" s="159"/>
      <c r="IN65" s="159"/>
      <c r="IO65" s="159"/>
      <c r="IP65" s="159"/>
      <c r="IQ65" s="159"/>
      <c r="IR65" s="159"/>
      <c r="IS65" s="159"/>
      <c r="IT65" s="159"/>
      <c r="IU65" s="159"/>
    </row>
    <row r="66" ht="12.75" customHeight="1">
      <c r="A66" s="161"/>
      <c r="B66" s="161"/>
      <c r="C66" s="161"/>
      <c r="D66" s="162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  <c r="II66" s="128"/>
      <c r="IJ66" s="128"/>
      <c r="IK66" s="128"/>
      <c r="IL66" s="128"/>
      <c r="IM66" s="128"/>
      <c r="IN66" s="128"/>
      <c r="IO66" s="128"/>
      <c r="IP66" s="128"/>
      <c r="IQ66" s="128"/>
      <c r="IR66" s="128"/>
      <c r="IS66" s="128"/>
      <c r="IT66" s="128"/>
      <c r="IU66" s="128"/>
    </row>
    <row r="67" ht="12.75" customHeight="1">
      <c r="A67" s="128"/>
      <c r="B67" s="128"/>
      <c r="C67" s="128"/>
      <c r="D67" s="128"/>
      <c r="E67" s="128"/>
      <c r="F67" s="159"/>
      <c r="G67" s="128"/>
      <c r="H67" s="147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  <c r="CJ67" s="128"/>
      <c r="CK67" s="128"/>
      <c r="CL67" s="128"/>
      <c r="CM67" s="128"/>
      <c r="CN67" s="128"/>
      <c r="CO67" s="128"/>
      <c r="CP67" s="128"/>
      <c r="CQ67" s="128"/>
      <c r="CR67" s="128"/>
      <c r="CS67" s="128"/>
      <c r="CT67" s="128"/>
      <c r="CU67" s="128"/>
      <c r="CV67" s="128"/>
      <c r="CW67" s="128"/>
      <c r="CX67" s="128"/>
      <c r="CY67" s="128"/>
      <c r="CZ67" s="128"/>
      <c r="DA67" s="128"/>
      <c r="DB67" s="128"/>
      <c r="DC67" s="128"/>
      <c r="DD67" s="128"/>
      <c r="DE67" s="128"/>
      <c r="DF67" s="128"/>
      <c r="DG67" s="128"/>
      <c r="DH67" s="128"/>
      <c r="DI67" s="128"/>
      <c r="DJ67" s="128"/>
      <c r="DK67" s="128"/>
      <c r="DL67" s="128"/>
      <c r="DM67" s="128"/>
      <c r="DN67" s="128"/>
      <c r="DO67" s="128"/>
      <c r="DP67" s="128"/>
      <c r="DQ67" s="128"/>
      <c r="DR67" s="128"/>
      <c r="DS67" s="128"/>
      <c r="DT67" s="128"/>
      <c r="DU67" s="128"/>
      <c r="DV67" s="128"/>
      <c r="DW67" s="128"/>
      <c r="DX67" s="128"/>
      <c r="DY67" s="128"/>
      <c r="DZ67" s="128"/>
      <c r="EA67" s="128"/>
      <c r="EB67" s="128"/>
      <c r="EC67" s="128"/>
      <c r="ED67" s="128"/>
      <c r="EE67" s="128"/>
      <c r="EF67" s="128"/>
      <c r="EG67" s="128"/>
      <c r="EH67" s="128"/>
      <c r="EI67" s="128"/>
      <c r="EJ67" s="128"/>
      <c r="EK67" s="128"/>
      <c r="EL67" s="128"/>
      <c r="EM67" s="128"/>
      <c r="EN67" s="128"/>
      <c r="EO67" s="128"/>
      <c r="EP67" s="128"/>
      <c r="EQ67" s="128"/>
      <c r="ER67" s="128"/>
      <c r="ES67" s="128"/>
      <c r="ET67" s="128"/>
      <c r="EU67" s="128"/>
      <c r="EV67" s="128"/>
      <c r="EW67" s="128"/>
      <c r="EX67" s="128"/>
      <c r="EY67" s="128"/>
      <c r="EZ67" s="128"/>
      <c r="FA67" s="128"/>
      <c r="FB67" s="128"/>
      <c r="FC67" s="128"/>
      <c r="FD67" s="128"/>
      <c r="FE67" s="128"/>
      <c r="FF67" s="128"/>
      <c r="FG67" s="128"/>
      <c r="FH67" s="128"/>
      <c r="FI67" s="128"/>
      <c r="FJ67" s="128"/>
      <c r="FK67" s="128"/>
      <c r="FL67" s="128"/>
      <c r="FM67" s="128"/>
      <c r="FN67" s="128"/>
      <c r="FO67" s="128"/>
      <c r="FP67" s="128"/>
      <c r="FQ67" s="128"/>
      <c r="FR67" s="128"/>
      <c r="FS67" s="128"/>
      <c r="FT67" s="128"/>
      <c r="FU67" s="128"/>
      <c r="FV67" s="128"/>
      <c r="FW67" s="128"/>
      <c r="FX67" s="128"/>
      <c r="FY67" s="128"/>
      <c r="FZ67" s="128"/>
      <c r="GA67" s="128"/>
      <c r="GB67" s="128"/>
      <c r="GC67" s="128"/>
      <c r="GD67" s="128"/>
      <c r="GE67" s="128"/>
      <c r="GF67" s="128"/>
      <c r="GG67" s="128"/>
      <c r="GH67" s="128"/>
      <c r="GI67" s="128"/>
      <c r="GJ67" s="128"/>
      <c r="GK67" s="128"/>
      <c r="GL67" s="128"/>
      <c r="GM67" s="128"/>
      <c r="GN67" s="128"/>
      <c r="GO67" s="128"/>
      <c r="GP67" s="128"/>
      <c r="GQ67" s="128"/>
      <c r="GR67" s="128"/>
      <c r="GS67" s="128"/>
      <c r="GT67" s="128"/>
      <c r="GU67" s="128"/>
      <c r="GV67" s="128"/>
      <c r="GW67" s="128"/>
      <c r="GX67" s="128"/>
      <c r="GY67" s="128"/>
      <c r="GZ67" s="128"/>
      <c r="HA67" s="128"/>
      <c r="HB67" s="128"/>
      <c r="HC67" s="128"/>
      <c r="HD67" s="128"/>
      <c r="HE67" s="128"/>
      <c r="HF67" s="128"/>
      <c r="HG67" s="128"/>
      <c r="HH67" s="128"/>
      <c r="HI67" s="128"/>
      <c r="HJ67" s="128"/>
      <c r="HK67" s="128"/>
      <c r="HL67" s="128"/>
      <c r="HM67" s="128"/>
      <c r="HN67" s="128"/>
      <c r="HO67" s="128"/>
      <c r="HP67" s="128"/>
      <c r="HQ67" s="128"/>
      <c r="HR67" s="128"/>
      <c r="HS67" s="128"/>
      <c r="HT67" s="128"/>
      <c r="HU67" s="128"/>
      <c r="HV67" s="128"/>
      <c r="HW67" s="128"/>
      <c r="HX67" s="128"/>
      <c r="HY67" s="128"/>
      <c r="HZ67" s="128"/>
      <c r="IA67" s="128"/>
      <c r="IB67" s="128"/>
      <c r="IC67" s="128"/>
      <c r="ID67" s="128"/>
      <c r="IE67" s="128"/>
      <c r="IF67" s="128"/>
      <c r="IG67" s="128"/>
      <c r="IH67" s="128"/>
      <c r="II67" s="128"/>
      <c r="IJ67" s="128"/>
      <c r="IK67" s="128"/>
      <c r="IL67" s="128"/>
      <c r="IM67" s="128"/>
      <c r="IN67" s="128"/>
      <c r="IO67" s="128"/>
      <c r="IP67" s="128"/>
      <c r="IQ67" s="128"/>
      <c r="IR67" s="128"/>
      <c r="IS67" s="128"/>
      <c r="IT67" s="128"/>
      <c r="IU67" s="128"/>
    </row>
    <row r="68" ht="12.75" customHeight="1">
      <c r="A68" s="161"/>
      <c r="B68" s="128"/>
      <c r="C68" s="128"/>
      <c r="D68" s="162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  <c r="CJ68" s="128"/>
      <c r="CK68" s="128"/>
      <c r="CL68" s="128"/>
      <c r="CM68" s="128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28"/>
      <c r="DH68" s="128"/>
      <c r="DI68" s="128"/>
      <c r="DJ68" s="128"/>
      <c r="DK68" s="128"/>
      <c r="DL68" s="128"/>
      <c r="DM68" s="128"/>
      <c r="DN68" s="128"/>
      <c r="DO68" s="128"/>
      <c r="DP68" s="128"/>
      <c r="DQ68" s="128"/>
      <c r="DR68" s="128"/>
      <c r="DS68" s="128"/>
      <c r="DT68" s="128"/>
      <c r="DU68" s="128"/>
      <c r="DV68" s="128"/>
      <c r="DW68" s="128"/>
      <c r="DX68" s="128"/>
      <c r="DY68" s="128"/>
      <c r="DZ68" s="128"/>
      <c r="EA68" s="128"/>
      <c r="EB68" s="128"/>
      <c r="EC68" s="128"/>
      <c r="ED68" s="128"/>
      <c r="EE68" s="128"/>
      <c r="EF68" s="128"/>
      <c r="EG68" s="128"/>
      <c r="EH68" s="128"/>
      <c r="EI68" s="128"/>
      <c r="EJ68" s="128"/>
      <c r="EK68" s="128"/>
      <c r="EL68" s="128"/>
      <c r="EM68" s="128"/>
      <c r="EN68" s="128"/>
      <c r="EO68" s="128"/>
      <c r="EP68" s="128"/>
      <c r="EQ68" s="128"/>
      <c r="ER68" s="128"/>
      <c r="ES68" s="128"/>
      <c r="ET68" s="128"/>
      <c r="EU68" s="128"/>
      <c r="EV68" s="128"/>
      <c r="EW68" s="128"/>
      <c r="EX68" s="128"/>
      <c r="EY68" s="128"/>
      <c r="EZ68" s="128"/>
      <c r="FA68" s="128"/>
      <c r="FB68" s="128"/>
      <c r="FC68" s="128"/>
      <c r="FD68" s="128"/>
      <c r="FE68" s="128"/>
      <c r="FF68" s="128"/>
      <c r="FG68" s="128"/>
      <c r="FH68" s="128"/>
      <c r="FI68" s="128"/>
      <c r="FJ68" s="128"/>
      <c r="FK68" s="128"/>
      <c r="FL68" s="128"/>
      <c r="FM68" s="128"/>
      <c r="FN68" s="128"/>
      <c r="FO68" s="128"/>
      <c r="FP68" s="128"/>
      <c r="FQ68" s="128"/>
      <c r="FR68" s="128"/>
      <c r="FS68" s="128"/>
      <c r="FT68" s="128"/>
      <c r="FU68" s="128"/>
      <c r="FV68" s="128"/>
      <c r="FW68" s="128"/>
      <c r="FX68" s="128"/>
      <c r="FY68" s="128"/>
      <c r="FZ68" s="128"/>
      <c r="GA68" s="128"/>
      <c r="GB68" s="128"/>
      <c r="GC68" s="128"/>
      <c r="GD68" s="128"/>
      <c r="GE68" s="128"/>
      <c r="GF68" s="128"/>
      <c r="GG68" s="128"/>
      <c r="GH68" s="128"/>
      <c r="GI68" s="128"/>
      <c r="GJ68" s="128"/>
      <c r="GK68" s="128"/>
      <c r="GL68" s="128"/>
      <c r="GM68" s="128"/>
      <c r="GN68" s="128"/>
      <c r="GO68" s="128"/>
      <c r="GP68" s="128"/>
      <c r="GQ68" s="128"/>
      <c r="GR68" s="128"/>
      <c r="GS68" s="128"/>
      <c r="GT68" s="128"/>
      <c r="GU68" s="128"/>
      <c r="GV68" s="128"/>
      <c r="GW68" s="128"/>
      <c r="GX68" s="128"/>
      <c r="GY68" s="128"/>
      <c r="GZ68" s="128"/>
      <c r="HA68" s="128"/>
      <c r="HB68" s="128"/>
      <c r="HC68" s="128"/>
      <c r="HD68" s="128"/>
      <c r="HE68" s="128"/>
      <c r="HF68" s="128"/>
      <c r="HG68" s="128"/>
      <c r="HH68" s="128"/>
      <c r="HI68" s="128"/>
      <c r="HJ68" s="128"/>
      <c r="HK68" s="128"/>
      <c r="HL68" s="128"/>
      <c r="HM68" s="128"/>
      <c r="HN68" s="128"/>
      <c r="HO68" s="128"/>
      <c r="HP68" s="128"/>
      <c r="HQ68" s="128"/>
      <c r="HR68" s="128"/>
      <c r="HS68" s="128"/>
      <c r="HT68" s="128"/>
      <c r="HU68" s="128"/>
      <c r="HV68" s="128"/>
      <c r="HW68" s="128"/>
      <c r="HX68" s="128"/>
      <c r="HY68" s="128"/>
      <c r="HZ68" s="128"/>
      <c r="IA68" s="128"/>
      <c r="IB68" s="128"/>
      <c r="IC68" s="128"/>
      <c r="ID68" s="128"/>
      <c r="IE68" s="128"/>
      <c r="IF68" s="128"/>
      <c r="IG68" s="128"/>
      <c r="IH68" s="128"/>
      <c r="II68" s="128"/>
      <c r="IJ68" s="128"/>
      <c r="IK68" s="128"/>
      <c r="IL68" s="128"/>
      <c r="IM68" s="128"/>
      <c r="IN68" s="128"/>
      <c r="IO68" s="128"/>
      <c r="IP68" s="128"/>
      <c r="IQ68" s="128"/>
      <c r="IR68" s="128"/>
      <c r="IS68" s="128"/>
      <c r="IT68" s="128"/>
      <c r="IU68" s="128"/>
    </row>
    <row r="69" ht="12.75" customHeight="1">
      <c r="A69" s="161"/>
      <c r="B69" s="128"/>
      <c r="C69" s="128"/>
      <c r="D69" s="162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128"/>
      <c r="CS69" s="128"/>
      <c r="CT69" s="128"/>
      <c r="CU69" s="128"/>
      <c r="CV69" s="128"/>
      <c r="CW69" s="128"/>
      <c r="CX69" s="128"/>
      <c r="CY69" s="128"/>
      <c r="CZ69" s="128"/>
      <c r="DA69" s="128"/>
      <c r="DB69" s="128"/>
      <c r="DC69" s="128"/>
      <c r="DD69" s="128"/>
      <c r="DE69" s="128"/>
      <c r="DF69" s="128"/>
      <c r="DG69" s="128"/>
      <c r="DH69" s="128"/>
      <c r="DI69" s="128"/>
      <c r="DJ69" s="128"/>
      <c r="DK69" s="128"/>
      <c r="DL69" s="128"/>
      <c r="DM69" s="128"/>
      <c r="DN69" s="128"/>
      <c r="DO69" s="128"/>
      <c r="DP69" s="128"/>
      <c r="DQ69" s="128"/>
      <c r="DR69" s="128"/>
      <c r="DS69" s="128"/>
      <c r="DT69" s="128"/>
      <c r="DU69" s="128"/>
      <c r="DV69" s="128"/>
      <c r="DW69" s="128"/>
      <c r="DX69" s="128"/>
      <c r="DY69" s="128"/>
      <c r="DZ69" s="128"/>
      <c r="EA69" s="128"/>
      <c r="EB69" s="128"/>
      <c r="EC69" s="128"/>
      <c r="ED69" s="128"/>
      <c r="EE69" s="128"/>
      <c r="EF69" s="128"/>
      <c r="EG69" s="128"/>
      <c r="EH69" s="128"/>
      <c r="EI69" s="128"/>
      <c r="EJ69" s="128"/>
      <c r="EK69" s="128"/>
      <c r="EL69" s="128"/>
      <c r="EM69" s="128"/>
      <c r="EN69" s="128"/>
      <c r="EO69" s="128"/>
      <c r="EP69" s="128"/>
      <c r="EQ69" s="128"/>
      <c r="ER69" s="128"/>
      <c r="ES69" s="128"/>
      <c r="ET69" s="128"/>
      <c r="EU69" s="128"/>
      <c r="EV69" s="128"/>
      <c r="EW69" s="128"/>
      <c r="EX69" s="128"/>
      <c r="EY69" s="128"/>
      <c r="EZ69" s="128"/>
      <c r="FA69" s="128"/>
      <c r="FB69" s="128"/>
      <c r="FC69" s="128"/>
      <c r="FD69" s="128"/>
      <c r="FE69" s="128"/>
      <c r="FF69" s="128"/>
      <c r="FG69" s="128"/>
      <c r="FH69" s="128"/>
      <c r="FI69" s="128"/>
      <c r="FJ69" s="128"/>
      <c r="FK69" s="128"/>
      <c r="FL69" s="128"/>
      <c r="FM69" s="128"/>
      <c r="FN69" s="128"/>
      <c r="FO69" s="128"/>
      <c r="FP69" s="128"/>
      <c r="FQ69" s="128"/>
      <c r="FR69" s="128"/>
      <c r="FS69" s="128"/>
      <c r="FT69" s="128"/>
      <c r="FU69" s="128"/>
      <c r="FV69" s="128"/>
      <c r="FW69" s="128"/>
      <c r="FX69" s="128"/>
      <c r="FY69" s="128"/>
      <c r="FZ69" s="128"/>
      <c r="GA69" s="128"/>
      <c r="GB69" s="128"/>
      <c r="GC69" s="128"/>
      <c r="GD69" s="128"/>
      <c r="GE69" s="128"/>
      <c r="GF69" s="128"/>
      <c r="GG69" s="128"/>
      <c r="GH69" s="128"/>
      <c r="GI69" s="128"/>
      <c r="GJ69" s="128"/>
      <c r="GK69" s="128"/>
      <c r="GL69" s="128"/>
      <c r="GM69" s="128"/>
      <c r="GN69" s="128"/>
      <c r="GO69" s="128"/>
      <c r="GP69" s="128"/>
      <c r="GQ69" s="128"/>
      <c r="GR69" s="128"/>
      <c r="GS69" s="128"/>
      <c r="GT69" s="128"/>
      <c r="GU69" s="128"/>
      <c r="GV69" s="128"/>
      <c r="GW69" s="128"/>
      <c r="GX69" s="128"/>
      <c r="GY69" s="128"/>
      <c r="GZ69" s="128"/>
      <c r="HA69" s="128"/>
      <c r="HB69" s="128"/>
      <c r="HC69" s="128"/>
      <c r="HD69" s="128"/>
      <c r="HE69" s="128"/>
      <c r="HF69" s="128"/>
      <c r="HG69" s="128"/>
      <c r="HH69" s="128"/>
      <c r="HI69" s="128"/>
      <c r="HJ69" s="128"/>
      <c r="HK69" s="128"/>
      <c r="HL69" s="128"/>
      <c r="HM69" s="128"/>
      <c r="HN69" s="128"/>
      <c r="HO69" s="128"/>
      <c r="HP69" s="128"/>
      <c r="HQ69" s="128"/>
      <c r="HR69" s="128"/>
      <c r="HS69" s="128"/>
      <c r="HT69" s="128"/>
      <c r="HU69" s="128"/>
      <c r="HV69" s="128"/>
      <c r="HW69" s="128"/>
      <c r="HX69" s="128"/>
      <c r="HY69" s="128"/>
      <c r="HZ69" s="128"/>
      <c r="IA69" s="128"/>
      <c r="IB69" s="128"/>
      <c r="IC69" s="128"/>
      <c r="ID69" s="128"/>
      <c r="IE69" s="128"/>
      <c r="IF69" s="128"/>
      <c r="IG69" s="128"/>
      <c r="IH69" s="128"/>
      <c r="II69" s="128"/>
      <c r="IJ69" s="128"/>
      <c r="IK69" s="128"/>
      <c r="IL69" s="128"/>
      <c r="IM69" s="128"/>
      <c r="IN69" s="128"/>
      <c r="IO69" s="128"/>
      <c r="IP69" s="128"/>
      <c r="IQ69" s="128"/>
      <c r="IR69" s="128"/>
      <c r="IS69" s="128"/>
      <c r="IT69" s="128"/>
      <c r="IU69" s="128"/>
    </row>
  </sheetData>
  <mergeCells count="56">
    <mergeCell ref="DH3:DW3"/>
    <mergeCell ref="DX3:EM3"/>
    <mergeCell ref="FD3:FS3"/>
    <mergeCell ref="FT3:GI3"/>
    <mergeCell ref="GJ3:GY3"/>
    <mergeCell ref="GZ3:HO3"/>
    <mergeCell ref="HP3:IE3"/>
    <mergeCell ref="IF3:IU3"/>
    <mergeCell ref="BL3:CA3"/>
    <mergeCell ref="EN3:FC3"/>
    <mergeCell ref="A58:D58"/>
    <mergeCell ref="A59:D59"/>
    <mergeCell ref="B36:D36"/>
    <mergeCell ref="B37:D37"/>
    <mergeCell ref="B38:D38"/>
    <mergeCell ref="B39:D39"/>
    <mergeCell ref="B40:D40"/>
    <mergeCell ref="B35:D35"/>
    <mergeCell ref="B28:D28"/>
    <mergeCell ref="B29:D29"/>
    <mergeCell ref="B30:D30"/>
    <mergeCell ref="B31:D31"/>
    <mergeCell ref="B33:D33"/>
    <mergeCell ref="A34:E34"/>
    <mergeCell ref="B19:D19"/>
    <mergeCell ref="B20:D20"/>
    <mergeCell ref="B22:D22"/>
    <mergeCell ref="B23:D23"/>
    <mergeCell ref="B24:D24"/>
    <mergeCell ref="B25:D25"/>
    <mergeCell ref="B26:D26"/>
    <mergeCell ref="B27:D27"/>
    <mergeCell ref="A16:E16"/>
    <mergeCell ref="B21:D21"/>
    <mergeCell ref="B17:D17"/>
    <mergeCell ref="B18:D18"/>
    <mergeCell ref="B11:D11"/>
    <mergeCell ref="B12:D12"/>
    <mergeCell ref="B13:D13"/>
    <mergeCell ref="B14:D14"/>
    <mergeCell ref="B15:D15"/>
    <mergeCell ref="CB3:CQ3"/>
    <mergeCell ref="CR3:DG3"/>
    <mergeCell ref="P3:AE3"/>
    <mergeCell ref="AF3:AU3"/>
    <mergeCell ref="AV3:BK3"/>
    <mergeCell ref="A1:H1"/>
    <mergeCell ref="A2:H2"/>
    <mergeCell ref="A3:H3"/>
    <mergeCell ref="B10:D10"/>
    <mergeCell ref="A5:H5"/>
    <mergeCell ref="C6:D6"/>
    <mergeCell ref="G6:H6"/>
    <mergeCell ref="A7:E7"/>
    <mergeCell ref="B8:D8"/>
    <mergeCell ref="B9:D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5.57"/>
    <col customWidth="1" min="5" max="5" width="11.43"/>
    <col customWidth="1" min="6" max="6" width="15.57"/>
    <col customWidth="1" min="7" max="7" width="9.0"/>
    <col customWidth="1" min="8" max="8" width="13.0"/>
    <col customWidth="1" min="9" max="10" width="11.43"/>
    <col customWidth="1" min="11" max="11" width="10.0"/>
  </cols>
  <sheetData>
    <row r="1" ht="12.75" customHeight="1">
      <c r="A1" s="167"/>
      <c r="B1" s="168"/>
      <c r="C1" s="168"/>
      <c r="D1" s="168"/>
      <c r="E1" s="168"/>
      <c r="F1" s="168"/>
      <c r="G1" s="168"/>
      <c r="H1" s="168"/>
      <c r="I1" s="169"/>
      <c r="J1" s="123"/>
      <c r="K1" s="123"/>
    </row>
    <row r="2" ht="15.0" customHeight="1">
      <c r="A2" s="170"/>
      <c r="B2" s="123"/>
      <c r="C2" s="123"/>
      <c r="D2" s="123"/>
      <c r="E2" s="123"/>
      <c r="F2" s="171" t="s">
        <v>122</v>
      </c>
      <c r="G2" s="38"/>
      <c r="H2" s="172">
        <v>45797.0</v>
      </c>
      <c r="I2" s="173"/>
      <c r="J2" s="123"/>
      <c r="K2" s="123"/>
    </row>
    <row r="3" ht="14.25" customHeight="1">
      <c r="A3" s="170"/>
      <c r="B3" s="123"/>
      <c r="C3" s="123"/>
      <c r="D3" s="123"/>
      <c r="E3" s="123"/>
      <c r="F3" s="174" t="s">
        <v>123</v>
      </c>
      <c r="G3" s="175"/>
      <c r="H3" s="176">
        <v>45797.0</v>
      </c>
      <c r="I3" s="173"/>
      <c r="J3" s="123"/>
      <c r="K3" s="123"/>
    </row>
    <row r="4" ht="14.25" customHeight="1">
      <c r="A4" s="170"/>
      <c r="B4" s="123"/>
      <c r="C4" s="123"/>
      <c r="D4" s="123"/>
      <c r="E4" s="123"/>
      <c r="F4" s="177"/>
      <c r="G4" s="178"/>
      <c r="H4" s="86"/>
      <c r="I4" s="173"/>
      <c r="J4" s="123"/>
      <c r="K4" s="123"/>
    </row>
    <row r="5" ht="12.75" customHeight="1">
      <c r="A5" s="170"/>
      <c r="B5" s="123"/>
      <c r="C5" s="123"/>
      <c r="D5" s="123"/>
      <c r="E5" s="123"/>
      <c r="F5" s="179" t="s">
        <v>124</v>
      </c>
      <c r="G5" s="180"/>
      <c r="H5" s="175"/>
      <c r="I5" s="173"/>
      <c r="J5" s="123"/>
      <c r="K5" s="123"/>
    </row>
    <row r="6" ht="15.0" customHeight="1">
      <c r="A6" s="170"/>
      <c r="B6" s="123"/>
      <c r="C6" s="123"/>
      <c r="D6" s="123"/>
      <c r="E6" s="123"/>
      <c r="F6" s="181" t="s">
        <v>125</v>
      </c>
      <c r="G6" s="18"/>
      <c r="H6" s="178"/>
      <c r="I6" s="173"/>
      <c r="J6" s="123"/>
      <c r="K6" s="123"/>
    </row>
    <row r="7" ht="12.75" customHeight="1">
      <c r="A7" s="170"/>
      <c r="B7" s="123"/>
      <c r="C7" s="123"/>
      <c r="D7" s="123"/>
      <c r="E7" s="123"/>
      <c r="F7" s="123"/>
      <c r="G7" s="123"/>
      <c r="H7" s="123"/>
      <c r="I7" s="173"/>
      <c r="J7" s="123"/>
      <c r="K7" s="123"/>
    </row>
    <row r="8" ht="18.75" customHeight="1">
      <c r="A8" s="182"/>
      <c r="B8" s="183"/>
      <c r="C8" s="184"/>
      <c r="D8" s="185"/>
      <c r="E8" s="185"/>
      <c r="F8" s="185"/>
      <c r="G8" s="185"/>
      <c r="H8" s="185"/>
      <c r="I8" s="186"/>
      <c r="J8" s="123"/>
      <c r="K8" s="123"/>
    </row>
    <row r="9" ht="18.75" customHeight="1">
      <c r="A9" s="187" t="s">
        <v>126</v>
      </c>
      <c r="I9" s="125"/>
      <c r="J9" s="123"/>
      <c r="K9" s="123"/>
    </row>
    <row r="10" ht="15.0" customHeight="1">
      <c r="A10" s="182"/>
      <c r="B10" s="183"/>
      <c r="C10" s="185"/>
      <c r="D10" s="185"/>
      <c r="E10" s="185"/>
      <c r="F10" s="185"/>
      <c r="G10" s="123"/>
      <c r="H10" s="123"/>
      <c r="I10" s="188"/>
      <c r="J10" s="123"/>
      <c r="K10" s="123"/>
    </row>
    <row r="11" ht="15.0" customHeight="1">
      <c r="A11" s="189" t="s">
        <v>127</v>
      </c>
      <c r="B11" s="190"/>
      <c r="C11" s="185"/>
      <c r="D11" s="185"/>
      <c r="E11" s="185"/>
      <c r="F11" s="185"/>
      <c r="G11" s="185"/>
      <c r="H11" s="185"/>
      <c r="I11" s="188"/>
      <c r="J11" s="123"/>
      <c r="K11" s="123"/>
    </row>
    <row r="12" ht="15.0" customHeight="1">
      <c r="A12" s="182"/>
      <c r="B12" s="183"/>
      <c r="C12" s="185"/>
      <c r="D12" s="185"/>
      <c r="E12" s="185"/>
      <c r="F12" s="185"/>
      <c r="G12" s="185"/>
      <c r="H12" s="185"/>
      <c r="I12" s="188"/>
      <c r="J12" s="123"/>
      <c r="K12" s="123"/>
    </row>
    <row r="13" ht="15.0" customHeight="1">
      <c r="A13" s="182" t="s">
        <v>128</v>
      </c>
      <c r="B13" s="190"/>
      <c r="C13" s="191" t="s">
        <v>0</v>
      </c>
      <c r="D13" s="185"/>
      <c r="E13" s="185"/>
      <c r="F13" s="185"/>
      <c r="G13" s="185"/>
      <c r="H13" s="185"/>
      <c r="I13" s="188"/>
      <c r="J13" s="123"/>
      <c r="K13" s="123"/>
    </row>
    <row r="14" ht="15.0" customHeight="1">
      <c r="A14" s="182" t="s">
        <v>129</v>
      </c>
      <c r="B14" s="190"/>
      <c r="C14" s="192" t="s">
        <v>130</v>
      </c>
      <c r="D14" s="193"/>
      <c r="E14" s="193"/>
      <c r="F14" s="193"/>
      <c r="G14" s="193"/>
      <c r="H14" s="185"/>
      <c r="I14" s="188"/>
      <c r="J14" s="123"/>
      <c r="K14" s="123"/>
    </row>
    <row r="15" ht="15.0" customHeight="1">
      <c r="A15" s="182" t="s">
        <v>131</v>
      </c>
      <c r="B15" s="190"/>
      <c r="C15" s="185"/>
      <c r="D15" s="185"/>
      <c r="E15" s="191" t="s">
        <v>132</v>
      </c>
      <c r="F15" s="185"/>
      <c r="G15" s="185"/>
      <c r="H15" s="185"/>
      <c r="I15" s="188"/>
      <c r="J15" s="123"/>
      <c r="K15" s="123"/>
    </row>
    <row r="16" ht="15.0" customHeight="1">
      <c r="A16" s="182"/>
      <c r="B16" s="183"/>
      <c r="C16" s="185"/>
      <c r="D16" s="185"/>
      <c r="E16" s="185"/>
      <c r="F16" s="185"/>
      <c r="G16" s="185"/>
      <c r="H16" s="185"/>
      <c r="I16" s="188"/>
      <c r="J16" s="123"/>
      <c r="K16" s="123"/>
    </row>
    <row r="17" ht="15.0" customHeight="1">
      <c r="A17" s="189"/>
      <c r="B17" s="183"/>
      <c r="D17" s="185"/>
      <c r="E17" s="185"/>
      <c r="F17" s="185"/>
      <c r="G17" s="185"/>
      <c r="H17" s="185"/>
      <c r="I17" s="188"/>
      <c r="J17" s="123"/>
      <c r="K17" s="123"/>
    </row>
    <row r="18" ht="15.0" customHeight="1">
      <c r="A18" s="182"/>
      <c r="B18" s="183"/>
      <c r="C18" s="185"/>
      <c r="D18" s="185"/>
      <c r="E18" s="185"/>
      <c r="F18" s="185"/>
      <c r="G18" s="185"/>
      <c r="H18" s="185"/>
      <c r="I18" s="188"/>
      <c r="J18" s="123"/>
      <c r="K18" s="123"/>
    </row>
    <row r="19" ht="15.0" customHeight="1">
      <c r="A19" s="189" t="s">
        <v>133</v>
      </c>
      <c r="B19" s="190"/>
      <c r="C19" s="185"/>
      <c r="D19" s="185"/>
      <c r="E19" s="185"/>
      <c r="F19" s="185"/>
      <c r="G19" s="185"/>
      <c r="H19" s="185"/>
      <c r="I19" s="188"/>
      <c r="J19" s="123"/>
      <c r="K19" s="123"/>
    </row>
    <row r="20" ht="15.0" customHeight="1">
      <c r="A20" s="182"/>
      <c r="B20" s="183"/>
      <c r="C20" s="185"/>
      <c r="D20" s="185"/>
      <c r="E20" s="185"/>
      <c r="F20" s="185"/>
      <c r="G20" s="185"/>
      <c r="H20" s="185"/>
      <c r="I20" s="188"/>
      <c r="J20" s="123"/>
      <c r="K20" s="123"/>
    </row>
    <row r="21" ht="14.25" customHeight="1">
      <c r="A21" s="182" t="s">
        <v>128</v>
      </c>
      <c r="B21" s="123"/>
      <c r="C21" s="194" t="s">
        <v>134</v>
      </c>
      <c r="E21" s="195"/>
      <c r="F21" s="195"/>
      <c r="G21" s="185"/>
      <c r="H21" s="185"/>
      <c r="I21" s="188"/>
      <c r="J21" s="123"/>
      <c r="K21" s="123"/>
    </row>
    <row r="22" ht="15.0" customHeight="1">
      <c r="A22" s="182" t="s">
        <v>129</v>
      </c>
      <c r="B22" s="123"/>
      <c r="C22" s="194" t="s">
        <v>135</v>
      </c>
      <c r="E22" s="193"/>
      <c r="F22" s="193"/>
      <c r="G22" s="185"/>
      <c r="H22" s="185"/>
      <c r="I22" s="188"/>
      <c r="J22" s="123"/>
      <c r="K22" s="123"/>
    </row>
    <row r="23" ht="15.0" customHeight="1">
      <c r="A23" s="182" t="s">
        <v>136</v>
      </c>
      <c r="B23" s="190"/>
      <c r="C23" s="185"/>
      <c r="D23" s="185"/>
      <c r="E23" s="191" t="s">
        <v>137</v>
      </c>
      <c r="F23" s="185"/>
      <c r="G23" s="185"/>
      <c r="H23" s="185"/>
      <c r="I23" s="188"/>
      <c r="J23" s="123"/>
      <c r="K23" s="123"/>
    </row>
    <row r="24" ht="15.0" customHeight="1">
      <c r="A24" s="182"/>
      <c r="B24" s="183"/>
      <c r="C24" s="185"/>
      <c r="D24" s="185"/>
      <c r="E24" s="185"/>
      <c r="F24" s="185"/>
      <c r="G24" s="185"/>
      <c r="H24" s="185"/>
      <c r="I24" s="188"/>
      <c r="J24" s="123"/>
      <c r="K24" s="123"/>
    </row>
    <row r="25" ht="15.0" customHeight="1">
      <c r="A25" s="189"/>
      <c r="B25" s="185"/>
      <c r="C25" s="185"/>
      <c r="D25" s="185"/>
      <c r="E25" s="185"/>
      <c r="F25" s="185"/>
      <c r="G25" s="185"/>
      <c r="H25" s="185"/>
      <c r="I25" s="188"/>
      <c r="J25" s="123"/>
      <c r="K25" s="123"/>
    </row>
    <row r="26" ht="15.0" customHeight="1">
      <c r="A26" s="182"/>
      <c r="B26" s="183"/>
      <c r="C26" s="185"/>
      <c r="D26" s="185"/>
      <c r="E26" s="185"/>
      <c r="F26" s="185"/>
      <c r="G26" s="185"/>
      <c r="H26" s="185"/>
      <c r="I26" s="188"/>
      <c r="J26" s="123"/>
      <c r="K26" s="123"/>
    </row>
    <row r="27" ht="15.0" customHeight="1">
      <c r="A27" s="189" t="s">
        <v>138</v>
      </c>
      <c r="B27" s="190"/>
      <c r="C27" s="185"/>
      <c r="D27" s="185"/>
      <c r="E27" s="185"/>
      <c r="F27" s="185"/>
      <c r="G27" s="185"/>
      <c r="H27" s="185"/>
      <c r="I27" s="188"/>
      <c r="J27" s="123"/>
      <c r="K27" s="123"/>
    </row>
    <row r="28" ht="15.0" customHeight="1">
      <c r="A28" s="182"/>
      <c r="B28" s="183"/>
      <c r="C28" s="185"/>
      <c r="D28" s="185"/>
      <c r="E28" s="185"/>
      <c r="F28" s="185"/>
      <c r="G28" s="185"/>
      <c r="H28" s="185"/>
      <c r="I28" s="188"/>
      <c r="J28" s="123"/>
      <c r="K28" s="123"/>
    </row>
    <row r="29" ht="15.0" customHeight="1">
      <c r="A29" s="170"/>
      <c r="B29" s="196"/>
      <c r="C29" s="190"/>
      <c r="D29" s="196"/>
      <c r="E29" s="185"/>
      <c r="F29" s="185"/>
      <c r="G29" s="185"/>
      <c r="H29" s="123"/>
      <c r="I29" s="197"/>
      <c r="J29" s="123"/>
      <c r="K29" s="123"/>
    </row>
    <row r="30" ht="30.0" customHeight="1">
      <c r="A30" s="198" t="s">
        <v>139</v>
      </c>
      <c r="B30" s="199" t="s">
        <v>140</v>
      </c>
      <c r="C30" s="200" t="s">
        <v>141</v>
      </c>
      <c r="D30" s="201" t="s">
        <v>142</v>
      </c>
      <c r="E30" s="202" t="s">
        <v>143</v>
      </c>
      <c r="F30" s="200" t="s">
        <v>144</v>
      </c>
      <c r="G30" s="200" t="s">
        <v>145</v>
      </c>
      <c r="H30" s="200" t="s">
        <v>146</v>
      </c>
      <c r="I30" s="203" t="s">
        <v>147</v>
      </c>
      <c r="J30" s="123"/>
      <c r="K30" s="123"/>
    </row>
    <row r="31" ht="15.0" customHeight="1">
      <c r="A31" s="204" t="s">
        <v>148</v>
      </c>
      <c r="B31" s="204" t="s">
        <v>149</v>
      </c>
      <c r="C31" s="205" t="s">
        <v>150</v>
      </c>
      <c r="D31" s="206">
        <v>7394.58</v>
      </c>
      <c r="E31" s="207" t="s">
        <v>151</v>
      </c>
      <c r="F31" s="206">
        <v>6374.64</v>
      </c>
      <c r="G31" s="208">
        <v>0.02</v>
      </c>
      <c r="H31" s="206">
        <v>0.0</v>
      </c>
      <c r="I31" s="209" t="str">
        <f>F31*G31-H31</f>
        <v>  127.49 </v>
      </c>
      <c r="J31" s="123"/>
      <c r="K31" s="123"/>
    </row>
    <row r="32" ht="15.0" customHeight="1">
      <c r="A32" s="182"/>
      <c r="B32" s="183"/>
      <c r="C32" s="210"/>
      <c r="D32" s="183"/>
      <c r="F32" s="211"/>
      <c r="G32" s="212"/>
      <c r="H32" s="210"/>
      <c r="I32" s="213"/>
      <c r="J32" s="214"/>
      <c r="K32" s="123"/>
    </row>
    <row r="33" ht="15.0" customHeight="1">
      <c r="A33" s="182"/>
      <c r="B33" s="183"/>
      <c r="C33" s="210"/>
      <c r="D33" s="183"/>
      <c r="F33" s="211"/>
      <c r="G33" s="212"/>
      <c r="H33" s="210"/>
      <c r="I33" s="213"/>
      <c r="J33" s="123"/>
      <c r="K33" s="123"/>
    </row>
    <row r="34" ht="15.0" customHeight="1">
      <c r="A34" s="182"/>
      <c r="B34" s="183"/>
      <c r="C34" s="210"/>
      <c r="D34" s="183"/>
      <c r="F34" s="211"/>
      <c r="G34" s="212"/>
      <c r="H34" s="185"/>
      <c r="I34" s="213"/>
      <c r="J34" s="123"/>
      <c r="K34" s="123"/>
    </row>
    <row r="35" ht="15.0" customHeight="1">
      <c r="A35" s="182"/>
      <c r="B35" s="183"/>
      <c r="C35" s="210"/>
      <c r="D35" s="183"/>
      <c r="E35" s="183"/>
      <c r="F35" s="171" t="s">
        <v>152</v>
      </c>
      <c r="G35" s="37"/>
      <c r="H35" s="38"/>
      <c r="I35" s="215" t="str">
        <f>SUM(I31:I34)</f>
        <v>  127.49 </v>
      </c>
      <c r="J35" s="123"/>
      <c r="K35" s="123"/>
    </row>
    <row r="36" ht="15.0" customHeight="1">
      <c r="A36" s="182"/>
      <c r="B36" s="183"/>
      <c r="C36" s="210"/>
      <c r="D36" s="183"/>
      <c r="E36" s="183"/>
      <c r="F36" s="190"/>
      <c r="G36" s="216"/>
      <c r="H36" s="196"/>
      <c r="I36" s="217"/>
      <c r="J36" s="123"/>
      <c r="K36" s="123"/>
    </row>
    <row r="37" ht="15.0" customHeight="1">
      <c r="A37" s="182"/>
      <c r="B37" s="183"/>
      <c r="C37" s="210"/>
      <c r="D37" s="183"/>
      <c r="E37" s="183"/>
      <c r="F37" s="190"/>
      <c r="G37" s="216"/>
      <c r="H37" s="196"/>
      <c r="I37" s="217"/>
      <c r="J37" s="123"/>
      <c r="K37" s="123"/>
    </row>
    <row r="38" ht="15.0" customHeight="1">
      <c r="A38" s="182"/>
      <c r="B38" s="183"/>
      <c r="C38" s="210"/>
      <c r="D38" s="183"/>
      <c r="E38" s="183"/>
      <c r="F38" s="190"/>
      <c r="G38" s="216"/>
      <c r="H38" s="196"/>
      <c r="I38" s="217"/>
      <c r="J38" s="123"/>
      <c r="K38" s="123"/>
    </row>
    <row r="39" ht="15.0" customHeight="1">
      <c r="A39" s="182"/>
      <c r="B39" s="183"/>
      <c r="C39" s="210"/>
      <c r="D39" s="183"/>
      <c r="E39" s="183"/>
      <c r="F39" s="183"/>
      <c r="G39" s="212"/>
      <c r="H39" s="185"/>
      <c r="I39" s="213"/>
      <c r="J39" s="123"/>
      <c r="K39" s="123"/>
    </row>
    <row r="40" ht="15.0" customHeight="1">
      <c r="A40" s="182"/>
      <c r="B40" s="183"/>
      <c r="C40" s="210"/>
      <c r="D40" s="183"/>
      <c r="E40" s="183"/>
      <c r="F40" s="183"/>
      <c r="G40" s="212"/>
      <c r="H40" s="185"/>
      <c r="I40" s="213"/>
      <c r="J40" s="123"/>
      <c r="K40" s="123"/>
    </row>
    <row r="41" ht="15.0" customHeight="1">
      <c r="A41" s="218"/>
      <c r="B41" s="219"/>
      <c r="C41" s="220"/>
      <c r="D41" s="219"/>
      <c r="E41" s="183"/>
      <c r="F41" s="219"/>
      <c r="G41" s="221"/>
      <c r="H41" s="222"/>
      <c r="I41" s="213"/>
      <c r="J41" s="123"/>
      <c r="K41" s="123"/>
    </row>
    <row r="42" ht="15.0" customHeight="1">
      <c r="A42" s="223" t="s">
        <v>153</v>
      </c>
      <c r="E42" s="123"/>
      <c r="F42" s="185"/>
      <c r="G42" s="190" t="s">
        <v>154</v>
      </c>
      <c r="H42" s="183"/>
      <c r="I42" s="188"/>
      <c r="J42" s="123"/>
      <c r="K42" s="123"/>
    </row>
    <row r="43" ht="15.75" customHeight="1">
      <c r="A43" s="224"/>
      <c r="B43" s="225" t="s">
        <v>155</v>
      </c>
      <c r="C43" s="225"/>
      <c r="D43" s="226"/>
      <c r="E43" s="227"/>
      <c r="F43" s="228"/>
      <c r="G43" s="225"/>
      <c r="H43" s="229"/>
      <c r="I43" s="230"/>
      <c r="J43" s="123"/>
      <c r="K43" s="123"/>
    </row>
    <row r="44" ht="12.75" customHeight="1">
      <c r="A44" s="123"/>
      <c r="B44" s="231"/>
      <c r="C44" s="123"/>
      <c r="D44" s="123"/>
      <c r="E44" s="123"/>
      <c r="F44" s="123"/>
      <c r="G44" s="123"/>
      <c r="H44" s="123"/>
      <c r="I44" s="123"/>
      <c r="J44" s="123"/>
      <c r="K44" s="123"/>
    </row>
    <row r="45" ht="12.75" customHeight="1">
      <c r="A45" s="123"/>
      <c r="B45" s="231"/>
      <c r="C45" s="123"/>
      <c r="D45" s="123"/>
      <c r="E45" s="123"/>
      <c r="F45" s="123"/>
      <c r="G45" s="123"/>
      <c r="H45" s="123"/>
      <c r="I45" s="123"/>
      <c r="J45" s="123"/>
      <c r="K45" s="123"/>
    </row>
    <row r="46" ht="12.75" customHeight="1">
      <c r="A46" s="123"/>
      <c r="B46" s="231"/>
      <c r="C46" s="123"/>
      <c r="D46" s="123"/>
      <c r="E46" s="123"/>
      <c r="F46" s="123"/>
      <c r="G46" s="123"/>
      <c r="H46" s="123"/>
      <c r="I46" s="123"/>
      <c r="J46" s="123"/>
      <c r="K46" s="123"/>
    </row>
    <row r="47" ht="12.75" customHeight="1">
      <c r="A47" s="123"/>
      <c r="B47" s="231"/>
      <c r="C47" s="123"/>
      <c r="D47" s="123"/>
      <c r="E47" s="123"/>
      <c r="F47" s="123"/>
      <c r="G47" s="123"/>
      <c r="H47" s="123"/>
      <c r="I47" s="123"/>
      <c r="J47" s="123"/>
      <c r="K47" s="123"/>
    </row>
    <row r="48" ht="12.75" customHeight="1">
      <c r="A48" s="123"/>
      <c r="B48" s="231"/>
      <c r="C48" s="123"/>
      <c r="D48" s="123"/>
      <c r="E48" s="123"/>
      <c r="F48" s="123"/>
      <c r="G48" s="123"/>
      <c r="H48" s="123"/>
      <c r="I48" s="123"/>
      <c r="J48" s="123"/>
      <c r="K48" s="123"/>
    </row>
    <row r="49" ht="12.75" customHeight="1">
      <c r="A49" s="123"/>
      <c r="B49" s="231"/>
      <c r="C49" s="123"/>
      <c r="D49" s="123"/>
      <c r="E49" s="123"/>
      <c r="F49" s="123"/>
      <c r="G49" s="123"/>
      <c r="H49" s="123"/>
      <c r="I49" s="123"/>
      <c r="J49" s="123"/>
      <c r="K49" s="123"/>
    </row>
    <row r="50" ht="12.75" customHeight="1">
      <c r="A50" s="123"/>
      <c r="B50" s="231"/>
      <c r="C50" s="123"/>
      <c r="D50" s="123"/>
      <c r="E50" s="123"/>
      <c r="F50" s="123"/>
      <c r="G50" s="123"/>
      <c r="H50" s="123"/>
      <c r="I50" s="123"/>
      <c r="J50" s="123"/>
      <c r="K50" s="123"/>
    </row>
    <row r="51" ht="12.75" customHeight="1">
      <c r="A51" s="123"/>
      <c r="B51" s="231"/>
      <c r="C51" s="123"/>
      <c r="D51" s="123"/>
      <c r="E51" s="123"/>
      <c r="F51" s="123"/>
      <c r="G51" s="123"/>
      <c r="H51" s="123"/>
      <c r="I51" s="123"/>
      <c r="J51" s="123"/>
      <c r="K51" s="123"/>
    </row>
    <row r="52" ht="12.75" customHeight="1">
      <c r="A52" s="123"/>
      <c r="B52" s="231"/>
      <c r="C52" s="123"/>
      <c r="D52" s="123"/>
      <c r="E52" s="123"/>
      <c r="F52" s="123"/>
      <c r="G52" s="123"/>
      <c r="H52" s="123"/>
      <c r="I52" s="123"/>
      <c r="J52" s="123"/>
      <c r="K52" s="123"/>
    </row>
    <row r="53" ht="12.75" customHeight="1">
      <c r="A53" s="123"/>
      <c r="B53" s="231"/>
      <c r="C53" s="123"/>
      <c r="D53" s="123"/>
      <c r="E53" s="123"/>
      <c r="F53" s="123"/>
      <c r="G53" s="123"/>
      <c r="H53" s="123"/>
      <c r="I53" s="123"/>
      <c r="J53" s="123"/>
      <c r="K53" s="123"/>
    </row>
    <row r="54" ht="12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</row>
    <row r="55" ht="12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</row>
    <row r="56" ht="12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</row>
    <row r="57" ht="12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</row>
    <row r="58" ht="12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</row>
    <row r="59" ht="12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</row>
    <row r="60" ht="12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</row>
    <row r="61" ht="12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</row>
    <row r="62" ht="12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</row>
    <row r="63" ht="12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</row>
    <row r="64" ht="12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</row>
    <row r="65" ht="12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</row>
    <row r="66" ht="12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</row>
    <row r="67" ht="12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</row>
    <row r="68" ht="12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</row>
    <row r="69" ht="12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</row>
    <row r="70" ht="12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</row>
    <row r="71" ht="12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</row>
    <row r="72" ht="12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</row>
    <row r="73" ht="12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</row>
    <row r="74" ht="12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</row>
    <row r="75" ht="12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</row>
    <row r="76" ht="12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</row>
    <row r="77" ht="12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</row>
    <row r="78" ht="12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</row>
    <row r="79" ht="12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</row>
    <row r="80" ht="12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</row>
    <row r="81" ht="12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</row>
    <row r="82" ht="12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</row>
    <row r="83" ht="12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</row>
    <row r="84" ht="12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</row>
    <row r="85" ht="12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</row>
    <row r="86" ht="12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</row>
    <row r="87" ht="12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</row>
    <row r="88" ht="12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</row>
    <row r="89" ht="12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</row>
    <row r="90" ht="12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</row>
    <row r="91" ht="12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</row>
    <row r="92" ht="12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</row>
    <row r="93" ht="12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</row>
    <row r="94" ht="12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</row>
    <row r="95" ht="12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</row>
    <row r="96" ht="12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</row>
    <row r="97" ht="12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</row>
    <row r="98" ht="12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</row>
    <row r="99" ht="12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</row>
    <row r="100" ht="12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</row>
  </sheetData>
  <mergeCells count="14">
    <mergeCell ref="B17:C17"/>
    <mergeCell ref="F2:G2"/>
    <mergeCell ref="F3:G4"/>
    <mergeCell ref="H3:H4"/>
    <mergeCell ref="F5:H5"/>
    <mergeCell ref="F6:H6"/>
    <mergeCell ref="A9:I9"/>
    <mergeCell ref="F35:H35"/>
    <mergeCell ref="A42:D42"/>
    <mergeCell ref="C21:D21"/>
    <mergeCell ref="C22:D22"/>
    <mergeCell ref="D32:E32"/>
    <mergeCell ref="D33:E33"/>
    <mergeCell ref="D34:E3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0"/>
    <col customWidth="1" min="3" max="3" width="12.0"/>
    <col customWidth="1" min="4" max="4" width="10.71"/>
    <col customWidth="1" min="5" max="5" width="11.71"/>
    <col customWidth="1" min="6" max="6" width="9.14"/>
    <col customWidth="1" min="7" max="7" width="12.14"/>
    <col customWidth="1" min="8" max="8" width="9.14"/>
    <col customWidth="1" min="9" max="9" width="10.43"/>
    <col customWidth="1" min="10" max="10" width="9.14"/>
    <col customWidth="1" min="11" max="11" width="9.57"/>
    <col customWidth="1" min="12" max="12" width="5.0"/>
    <col customWidth="1" min="13" max="13" width="7.57"/>
    <col customWidth="1" min="14" max="14" width="9.71"/>
    <col customWidth="1" min="15" max="15" width="10.14"/>
  </cols>
  <sheetData>
    <row r="1" ht="12.7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ht="12.7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ht="12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ht="12.7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ht="12.75" customHeigh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</row>
    <row r="6" ht="23.25" customHeight="1">
      <c r="A6" s="232" t="s">
        <v>156</v>
      </c>
      <c r="B6" s="232"/>
      <c r="C6" s="232"/>
      <c r="D6" s="232"/>
      <c r="E6" s="232"/>
      <c r="F6" s="232"/>
      <c r="G6" s="233"/>
      <c r="H6" s="234" t="s">
        <v>157</v>
      </c>
      <c r="I6" s="235"/>
      <c r="J6" s="57"/>
      <c r="K6" s="236" t="s">
        <v>158</v>
      </c>
      <c r="L6" s="237"/>
      <c r="M6" s="57"/>
      <c r="N6" s="57"/>
      <c r="O6" s="57"/>
    </row>
    <row r="7" ht="14.25" customHeight="1">
      <c r="A7" s="57"/>
      <c r="B7" s="57"/>
      <c r="C7" s="57"/>
      <c r="D7" s="57"/>
      <c r="E7" s="57"/>
      <c r="F7" s="57"/>
      <c r="G7" s="238" t="s">
        <v>159</v>
      </c>
      <c r="H7" s="18"/>
      <c r="I7" s="178"/>
      <c r="J7" s="57"/>
      <c r="K7" s="239">
        <v>46280.0</v>
      </c>
      <c r="L7" s="240"/>
      <c r="M7" s="57"/>
      <c r="N7" s="57"/>
      <c r="O7" s="57"/>
    </row>
    <row r="8" ht="12.7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</row>
    <row r="9" ht="22.5" customHeight="1">
      <c r="A9" s="241" t="s">
        <v>160</v>
      </c>
      <c r="B9" s="57"/>
      <c r="C9" s="57"/>
      <c r="D9" s="57"/>
      <c r="E9" s="57"/>
      <c r="F9" s="57"/>
      <c r="G9" s="57"/>
      <c r="H9" s="57"/>
      <c r="I9" s="57"/>
      <c r="J9" s="57"/>
      <c r="K9" s="236" t="s">
        <v>161</v>
      </c>
      <c r="L9" s="57"/>
      <c r="M9" s="57"/>
      <c r="N9" s="57"/>
      <c r="O9" s="57"/>
    </row>
    <row r="10" ht="12.75" customHeight="1">
      <c r="A10" s="241" t="s">
        <v>162</v>
      </c>
      <c r="B10" s="57"/>
      <c r="C10" s="57"/>
      <c r="D10" s="57"/>
      <c r="E10" s="57"/>
      <c r="F10" s="57"/>
      <c r="G10" s="57"/>
      <c r="H10" s="57"/>
      <c r="I10" s="57"/>
      <c r="J10" s="57"/>
      <c r="K10" s="239">
        <v>46280.0</v>
      </c>
      <c r="L10" s="57"/>
      <c r="M10" s="57"/>
      <c r="N10" s="57"/>
      <c r="O10" s="57"/>
    </row>
    <row r="11" ht="12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</row>
    <row r="12" ht="12.75" customHeight="1">
      <c r="A12" s="242" t="s">
        <v>163</v>
      </c>
      <c r="B12" s="243"/>
      <c r="C12" s="243"/>
      <c r="D12" s="243"/>
      <c r="E12" s="235"/>
      <c r="F12" s="57"/>
      <c r="G12" s="242" t="s">
        <v>164</v>
      </c>
      <c r="H12" s="243"/>
      <c r="I12" s="243"/>
      <c r="J12" s="243"/>
      <c r="K12" s="235"/>
      <c r="L12" s="57"/>
      <c r="M12" s="57"/>
      <c r="N12" s="57"/>
      <c r="O12" s="57"/>
    </row>
    <row r="13" ht="12.75" customHeight="1">
      <c r="A13" s="244" t="s">
        <v>0</v>
      </c>
      <c r="B13" s="245"/>
      <c r="C13" s="245"/>
      <c r="D13" s="245"/>
      <c r="E13" s="246"/>
      <c r="F13" s="57"/>
      <c r="G13" s="247" t="s">
        <v>130</v>
      </c>
      <c r="H13" s="18"/>
      <c r="I13" s="18"/>
      <c r="J13" s="18"/>
      <c r="K13" s="178"/>
      <c r="L13" s="57"/>
      <c r="M13" s="57"/>
      <c r="N13" s="57"/>
      <c r="O13" s="57"/>
    </row>
    <row r="14" ht="12.75" customHeight="1">
      <c r="A14" s="248"/>
      <c r="B14" s="57"/>
      <c r="C14" s="57"/>
      <c r="D14" s="57"/>
      <c r="E14" s="57"/>
      <c r="F14" s="57"/>
      <c r="G14" s="57"/>
      <c r="H14" s="57"/>
      <c r="I14" s="249"/>
      <c r="J14" s="57"/>
      <c r="K14" s="57"/>
      <c r="L14" s="57"/>
      <c r="M14" s="57"/>
      <c r="N14" s="57"/>
      <c r="O14" s="57"/>
    </row>
    <row r="15" ht="12.75" customHeight="1">
      <c r="A15" s="242" t="s">
        <v>165</v>
      </c>
      <c r="B15" s="243"/>
      <c r="C15" s="243"/>
      <c r="D15" s="243"/>
      <c r="E15" s="243"/>
      <c r="F15" s="235"/>
      <c r="G15" s="57"/>
      <c r="H15" s="57"/>
      <c r="I15" s="57"/>
      <c r="J15" s="57"/>
      <c r="K15" s="57"/>
      <c r="L15" s="237"/>
    </row>
    <row r="16" ht="12.75" customHeight="1">
      <c r="A16" s="250" t="s">
        <v>132</v>
      </c>
      <c r="B16" s="245"/>
      <c r="C16" s="245"/>
      <c r="D16" s="245"/>
      <c r="E16" s="251"/>
      <c r="F16" s="246"/>
      <c r="G16" s="57"/>
      <c r="H16" s="57"/>
      <c r="I16" s="57"/>
      <c r="J16" s="57"/>
      <c r="K16" s="57"/>
      <c r="L16" s="252"/>
      <c r="M16" s="253"/>
      <c r="N16" s="252"/>
      <c r="O16" s="253"/>
    </row>
    <row r="17" ht="12.75" customHeight="1">
      <c r="A17" s="241"/>
      <c r="B17" s="57"/>
      <c r="C17" s="57"/>
      <c r="D17" s="57"/>
      <c r="E17" s="241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ht="12.75" customHeight="1">
      <c r="A18" s="242" t="s">
        <v>166</v>
      </c>
      <c r="B18" s="243"/>
      <c r="C18" s="243"/>
      <c r="D18" s="243"/>
      <c r="E18" s="235"/>
      <c r="F18" s="57"/>
      <c r="G18" s="254" t="s">
        <v>167</v>
      </c>
      <c r="H18" s="180"/>
      <c r="I18" s="180"/>
      <c r="J18" s="180"/>
      <c r="K18" s="175"/>
      <c r="L18" s="255"/>
      <c r="M18" s="57"/>
      <c r="N18" s="57"/>
      <c r="O18" s="57"/>
    </row>
    <row r="19" ht="12.75" customHeight="1">
      <c r="A19" s="244" t="s">
        <v>168</v>
      </c>
      <c r="B19" s="245"/>
      <c r="C19" s="245"/>
      <c r="D19" s="245"/>
      <c r="E19" s="246"/>
      <c r="F19" s="57"/>
      <c r="G19" s="247" t="s">
        <v>36</v>
      </c>
      <c r="H19" s="18"/>
      <c r="I19" s="18"/>
      <c r="J19" s="18"/>
      <c r="K19" s="178"/>
      <c r="L19" s="193"/>
      <c r="M19" s="57"/>
      <c r="N19" s="57"/>
      <c r="O19" s="57"/>
    </row>
    <row r="20" ht="12.75" customHeight="1">
      <c r="A20" s="248"/>
      <c r="B20" s="57"/>
      <c r="C20" s="57"/>
      <c r="D20" s="57"/>
      <c r="E20" s="57"/>
      <c r="F20" s="57"/>
      <c r="G20" s="57"/>
      <c r="H20" s="57"/>
      <c r="I20" s="249"/>
      <c r="J20" s="57"/>
      <c r="K20" s="57"/>
      <c r="L20" s="57"/>
      <c r="M20" s="57"/>
      <c r="N20" s="57"/>
      <c r="O20" s="57"/>
    </row>
    <row r="21" ht="12.75" customHeight="1">
      <c r="A21" s="241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ht="12.75" customHeight="1">
      <c r="A22" s="241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249"/>
      <c r="M22" s="57"/>
      <c r="N22" s="57"/>
      <c r="O22" s="256"/>
    </row>
    <row r="23" ht="12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249"/>
      <c r="M23" s="57"/>
      <c r="N23" s="57"/>
      <c r="O23" s="57"/>
    </row>
    <row r="24" ht="12.75" customHeight="1">
      <c r="A24" s="236" t="s">
        <v>169</v>
      </c>
      <c r="B24" s="236" t="s">
        <v>170</v>
      </c>
      <c r="C24" s="236" t="s">
        <v>171</v>
      </c>
      <c r="D24" s="236" t="s">
        <v>172</v>
      </c>
      <c r="E24" s="236" t="s">
        <v>173</v>
      </c>
      <c r="F24" s="236" t="s">
        <v>174</v>
      </c>
      <c r="G24" s="257" t="s">
        <v>18</v>
      </c>
      <c r="H24" s="258" t="s">
        <v>175</v>
      </c>
      <c r="I24" s="257" t="s">
        <v>176</v>
      </c>
      <c r="J24" s="259" t="s">
        <v>177</v>
      </c>
      <c r="K24" s="260" t="s">
        <v>178</v>
      </c>
      <c r="L24" s="57"/>
      <c r="M24" s="57"/>
      <c r="N24" s="57"/>
      <c r="O24" s="57"/>
    </row>
    <row r="25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57"/>
      <c r="M25" s="57"/>
      <c r="N25" s="57"/>
      <c r="O25" s="57"/>
    </row>
    <row r="26" ht="20.25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57"/>
      <c r="M26" s="57"/>
      <c r="N26" s="57"/>
      <c r="O26" s="57"/>
    </row>
    <row r="27" ht="20.25" customHeight="1">
      <c r="A27" s="261">
        <v>46260.0</v>
      </c>
      <c r="B27" s="262" t="s">
        <v>179</v>
      </c>
      <c r="C27" s="262" t="s">
        <v>180</v>
      </c>
      <c r="D27" s="89" t="s">
        <v>181</v>
      </c>
      <c r="E27" s="263" t="str">
        <f>+I27+G27+F27</f>
        <v>87,332.77</v>
      </c>
      <c r="F27" s="263">
        <v>0.0</v>
      </c>
      <c r="G27" s="263">
        <v>75286.87</v>
      </c>
      <c r="H27" s="264">
        <v>0.16</v>
      </c>
      <c r="I27" s="265" t="str">
        <f>+G27*16%</f>
        <v>12,045.90</v>
      </c>
      <c r="J27" s="266">
        <v>0.75</v>
      </c>
      <c r="K27" s="265" t="str">
        <f>+I27*J27</f>
        <v>9,034.42</v>
      </c>
      <c r="L27" s="57"/>
      <c r="M27" s="57"/>
      <c r="N27" s="57"/>
      <c r="O27" s="57"/>
    </row>
    <row r="28" ht="12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ht="12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ht="12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</row>
    <row r="31" ht="12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2" ht="12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</row>
    <row r="33" ht="12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</row>
    <row r="34" ht="12.75" customHeight="1">
      <c r="A34" s="57"/>
      <c r="B34" s="267" t="s">
        <v>182</v>
      </c>
      <c r="C34" s="57"/>
      <c r="D34" s="57"/>
      <c r="E34" s="57"/>
      <c r="F34" s="57"/>
      <c r="G34" s="57"/>
      <c r="H34" s="267" t="s">
        <v>183</v>
      </c>
      <c r="I34" s="57"/>
      <c r="J34" s="57"/>
      <c r="K34" s="57"/>
      <c r="L34" s="57"/>
      <c r="M34" s="57"/>
      <c r="N34" s="57"/>
      <c r="O34" s="57"/>
    </row>
    <row r="35" ht="12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</row>
    <row r="36" ht="12.75" customHeight="1">
      <c r="A36" s="245"/>
      <c r="B36" s="245"/>
      <c r="C36" s="245"/>
      <c r="D36" s="57"/>
      <c r="E36" s="57"/>
      <c r="F36" s="57"/>
      <c r="G36" s="245"/>
      <c r="H36" s="245"/>
      <c r="I36" s="245"/>
      <c r="J36" s="57"/>
      <c r="K36" s="57"/>
      <c r="L36" s="57"/>
      <c r="M36" s="57"/>
      <c r="N36" s="57"/>
      <c r="O36" s="57"/>
    </row>
    <row r="37" ht="12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</row>
    <row r="38" ht="12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</row>
    <row r="39" ht="12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</row>
    <row r="40" ht="12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ht="12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</row>
    <row r="42" ht="12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</row>
    <row r="43" ht="12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</row>
    <row r="44" ht="12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</row>
    <row r="45" ht="12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</row>
    <row r="46" ht="12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ht="12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ht="12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</row>
    <row r="49" ht="12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</row>
    <row r="50" ht="12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</row>
    <row r="51" ht="12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2" ht="12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</row>
    <row r="53" ht="12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</row>
    <row r="54" ht="12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</row>
    <row r="55" ht="12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</row>
    <row r="56" ht="12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</row>
    <row r="57" ht="12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</row>
    <row r="58" ht="12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</row>
    <row r="59" ht="12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</row>
    <row r="60" ht="12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</row>
    <row r="61" ht="12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</row>
    <row r="62" ht="12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</row>
    <row r="63" ht="12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</row>
    <row r="64" ht="12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</row>
    <row r="65" ht="12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</row>
    <row r="66" ht="12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</row>
    <row r="67" ht="12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</row>
    <row r="68" ht="12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</row>
    <row r="69" ht="12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</row>
    <row r="70" ht="12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</row>
    <row r="71" ht="12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ht="12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</row>
    <row r="73" ht="12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</row>
    <row r="74" ht="12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  <row r="75" ht="12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</row>
    <row r="76" ht="12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</row>
    <row r="77" ht="12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ht="12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</row>
    <row r="79" ht="12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ht="12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</row>
    <row r="81" ht="12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</row>
    <row r="82" ht="12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</row>
    <row r="83" ht="12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 ht="12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 ht="12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</row>
    <row r="86" ht="12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</row>
    <row r="87" ht="12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</row>
    <row r="88" ht="12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ht="12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</row>
    <row r="90" ht="12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</row>
    <row r="91" ht="12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</row>
    <row r="92" ht="12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ht="12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</row>
    <row r="94" ht="12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</row>
    <row r="95" ht="12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ht="12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</row>
    <row r="97" ht="12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</row>
    <row r="98" ht="12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</row>
    <row r="99" ht="12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</row>
    <row r="100" ht="12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</row>
  </sheetData>
  <mergeCells count="16">
    <mergeCell ref="G13:K13"/>
    <mergeCell ref="L15:O15"/>
    <mergeCell ref="G18:K18"/>
    <mergeCell ref="G19:K19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G7:I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baseType="lpstr" size="7">
      <vt:lpstr>LIBRO DE COMPRAS</vt:lpstr>
      <vt:lpstr>LIBRO DE VENTAS</vt:lpstr>
      <vt:lpstr>RESUMEN</vt:lpstr>
      <vt:lpstr>COMPROBANTE RET DE ISLR</vt:lpstr>
      <vt:lpstr>COMPROBANTE DE RETENCION IVA</vt:lpstr>
      <vt:lpstr>'COMPROBANTE DE RETENCION IVA'!Área_de_impresión</vt:lpstr>
      <vt:lpstr>RESUMEN!Área_de_impresión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2026-09-25T03:51:19Z</dcterms:created>
  <dc:creator>User</dc:creator>
  <cp:lastModifiedBy>User</cp:lastModifiedBy>
  <dcterms:modified xsi:type="dcterms:W3CDTF">2026-09-25T04:05:03Z</dcterms:modified>
</cp:coreProperties>
</file>